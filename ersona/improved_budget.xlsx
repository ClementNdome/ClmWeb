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EVELOPMENT_\portfoli\ClmNios\ersona\"/>
    </mc:Choice>
  </mc:AlternateContent>
  <xr:revisionPtr revIDLastSave="0" documentId="13_ncr:1_{EBCD2E5A-F878-4208-883A-2715B4025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Budget" sheetId="2" r:id="rId2"/>
    <sheet name="Monthly Summary" sheetId="3" r:id="rId3"/>
    <sheet name="Savings &amp; Investments" sheetId="4" r:id="rId4"/>
    <sheet name="Go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F8" i="5"/>
  <c r="F7" i="5"/>
  <c r="F6" i="5"/>
  <c r="F5" i="5"/>
  <c r="F4" i="5"/>
  <c r="F3" i="5"/>
  <c r="F2" i="5"/>
  <c r="E5" i="4"/>
  <c r="E4" i="4"/>
  <c r="E3" i="4"/>
  <c r="E2" i="4"/>
  <c r="F2" i="4" s="1"/>
  <c r="F3" i="4" s="1"/>
  <c r="F4" i="4" s="1"/>
  <c r="F5" i="4" s="1"/>
  <c r="F6" i="4" s="1"/>
  <c r="F7" i="4" s="1"/>
  <c r="F8" i="4" s="1"/>
  <c r="E5" i="3"/>
  <c r="C5" i="3"/>
  <c r="B5" i="3"/>
  <c r="D5" i="3" s="1"/>
  <c r="E4" i="3"/>
  <c r="C4" i="3"/>
  <c r="B4" i="3"/>
  <c r="D4" i="3" s="1"/>
  <c r="E3" i="3"/>
  <c r="C3" i="3"/>
  <c r="B3" i="3"/>
  <c r="D3" i="3" s="1"/>
  <c r="E2" i="3"/>
  <c r="C2" i="3"/>
  <c r="B2" i="3"/>
  <c r="D2" i="3" s="1"/>
  <c r="B12" i="2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D12" i="2" l="1"/>
  <c r="C12" i="2"/>
</calcChain>
</file>

<file path=xl/sharedStrings.xml><?xml version="1.0" encoding="utf-8"?>
<sst xmlns="http://schemas.openxmlformats.org/spreadsheetml/2006/main" count="972" uniqueCount="187">
  <si>
    <t>Date</t>
  </si>
  <si>
    <t>Month</t>
  </si>
  <si>
    <t>Type</t>
  </si>
  <si>
    <t>Category</t>
  </si>
  <si>
    <t>Subcategory</t>
  </si>
  <si>
    <t>Amount</t>
  </si>
  <si>
    <t>Notes</t>
  </si>
  <si>
    <t>2024-08-01</t>
  </si>
  <si>
    <t>August</t>
  </si>
  <si>
    <t>Expense</t>
  </si>
  <si>
    <t>Food</t>
  </si>
  <si>
    <t>Rent</t>
  </si>
  <si>
    <t>House Stuff</t>
  </si>
  <si>
    <t>asso. Stuff to 1 &amp; 2</t>
  </si>
  <si>
    <t>Transport</t>
  </si>
  <si>
    <t>Family &amp; Friends</t>
  </si>
  <si>
    <t>Personal</t>
  </si>
  <si>
    <t>Mistake to GF</t>
  </si>
  <si>
    <t>Gifts to GF</t>
  </si>
  <si>
    <t>Airtime/Data</t>
  </si>
  <si>
    <t>Income</t>
  </si>
  <si>
    <t>Salary</t>
  </si>
  <si>
    <t>From Family</t>
  </si>
  <si>
    <t>Savings</t>
  </si>
  <si>
    <t>August Salary</t>
  </si>
  <si>
    <t>To MMF</t>
  </si>
  <si>
    <t>2024-09-01</t>
  </si>
  <si>
    <t>September</t>
  </si>
  <si>
    <t>Unga 4kg</t>
  </si>
  <si>
    <t>Mala</t>
  </si>
  <si>
    <t>Cooking Oil</t>
  </si>
  <si>
    <t>Onions</t>
  </si>
  <si>
    <t>Tomatoes</t>
  </si>
  <si>
    <t>Saumu</t>
  </si>
  <si>
    <t>Bananas</t>
  </si>
  <si>
    <t>Kamande</t>
  </si>
  <si>
    <t>#3</t>
  </si>
  <si>
    <t>Eggs</t>
  </si>
  <si>
    <t>Coffee</t>
  </si>
  <si>
    <t>Fruits[apples]</t>
  </si>
  <si>
    <t>Avocado</t>
  </si>
  <si>
    <t>Potatoes</t>
  </si>
  <si>
    <t>Milk</t>
  </si>
  <si>
    <t>Hoho</t>
  </si>
  <si>
    <t>Meat</t>
  </si>
  <si>
    <t>#frid 12</t>
  </si>
  <si>
    <t>Carrots</t>
  </si>
  <si>
    <t>Coriadale</t>
  </si>
  <si>
    <t>Veges</t>
  </si>
  <si>
    <t>Oranges</t>
  </si>
  <si>
    <t>Tangawizi and Saumu</t>
  </si>
  <si>
    <t>Ripe Bananas</t>
  </si>
  <si>
    <t>#2</t>
  </si>
  <si>
    <t>Peanuts</t>
  </si>
  <si>
    <t>Eat Outs</t>
  </si>
  <si>
    <t>Yummy Hotel</t>
  </si>
  <si>
    <t>Café</t>
  </si>
  <si>
    <t>Smk</t>
  </si>
  <si>
    <t>Lunch 9th</t>
  </si>
  <si>
    <t>11th</t>
  </si>
  <si>
    <t>14th</t>
  </si>
  <si>
    <t>#ngumu</t>
  </si>
  <si>
    <t>18th</t>
  </si>
  <si>
    <t>20</t>
  </si>
  <si>
    <t>27th</t>
  </si>
  <si>
    <t>30</t>
  </si>
  <si>
    <t>Omo</t>
  </si>
  <si>
    <t>Bar Soap</t>
  </si>
  <si>
    <t>Tissues Pair</t>
  </si>
  <si>
    <t>Dustmat</t>
  </si>
  <si>
    <t>Mbox</t>
  </si>
  <si>
    <t>Nivea Cologne</t>
  </si>
  <si>
    <t>Socks</t>
  </si>
  <si>
    <t>Super Glue</t>
  </si>
  <si>
    <t>Café Covered</t>
  </si>
  <si>
    <t>9th</t>
  </si>
  <si>
    <t>12th</t>
  </si>
  <si>
    <t>17th</t>
  </si>
  <si>
    <t>22nd</t>
  </si>
  <si>
    <t>30th</t>
  </si>
  <si>
    <t>Alfo</t>
  </si>
  <si>
    <t>Mum</t>
  </si>
  <si>
    <t>SpatioAI Domain</t>
  </si>
  <si>
    <t>Rentwater</t>
  </si>
  <si>
    <t>Lucy Fare</t>
  </si>
  <si>
    <t>Poghisho</t>
  </si>
  <si>
    <t>Wk1</t>
  </si>
  <si>
    <t>Wk2</t>
  </si>
  <si>
    <t>Wk3</t>
  </si>
  <si>
    <t>#to refund</t>
  </si>
  <si>
    <t>Wk4</t>
  </si>
  <si>
    <t>Wk5</t>
  </si>
  <si>
    <t>License</t>
  </si>
  <si>
    <t>Lamp and Stand</t>
  </si>
  <si>
    <t>Table +3k Trans</t>
  </si>
  <si>
    <t>Withdrawal-For Use</t>
  </si>
  <si>
    <t>From Café</t>
  </si>
  <si>
    <t>New Gig from Rachael</t>
  </si>
  <si>
    <t>Previously on HB</t>
  </si>
  <si>
    <t>September Salary</t>
  </si>
  <si>
    <t>2024-10-01</t>
  </si>
  <si>
    <t>October</t>
  </si>
  <si>
    <t>Unga 2kg</t>
  </si>
  <si>
    <t>Rice</t>
  </si>
  <si>
    <t>#2kg kheti</t>
  </si>
  <si>
    <t>#27</t>
  </si>
  <si>
    <t>#1</t>
  </si>
  <si>
    <t>2pcs , 3l65</t>
  </si>
  <si>
    <t>#sun12</t>
  </si>
  <si>
    <t>#cabbage</t>
  </si>
  <si>
    <t>Ngumu10th</t>
  </si>
  <si>
    <t>Ngumu 12th</t>
  </si>
  <si>
    <t>Samosa 16th</t>
  </si>
  <si>
    <t>Hips 21st</t>
  </si>
  <si>
    <t>Ngumu28th</t>
  </si>
  <si>
    <t>Ngumu29th</t>
  </si>
  <si>
    <t>Chicken</t>
  </si>
  <si>
    <t>#150 by robert</t>
  </si>
  <si>
    <t>Shopping Bag</t>
  </si>
  <si>
    <t>Matchbox</t>
  </si>
  <si>
    <t>Shaving</t>
  </si>
  <si>
    <t>Gas Refill</t>
  </si>
  <si>
    <t>Panadol</t>
  </si>
  <si>
    <t>Carrier Bag</t>
  </si>
  <si>
    <t>#const</t>
  </si>
  <si>
    <t>Domain Reg Main</t>
  </si>
  <si>
    <t>From Clem Waituka</t>
  </si>
  <si>
    <t>Last Ms Mshwari Bal</t>
  </si>
  <si>
    <t>Previous Savings</t>
  </si>
  <si>
    <t>On Oct</t>
  </si>
  <si>
    <t>2024-11-01</t>
  </si>
  <si>
    <t>November</t>
  </si>
  <si>
    <t>#1kg kheti</t>
  </si>
  <si>
    <t>2pcs , 1l65</t>
  </si>
  <si>
    <t>Bathing Soap 3</t>
  </si>
  <si>
    <t>Steel Wool</t>
  </si>
  <si>
    <t>Tissue</t>
  </si>
  <si>
    <t>Tape</t>
  </si>
  <si>
    <t>1st</t>
  </si>
  <si>
    <t>Lnr</t>
  </si>
  <si>
    <t>Prev Months Mshwari Bal</t>
  </si>
  <si>
    <t>Pochi Prev Month Bal</t>
  </si>
  <si>
    <t>Mpesa Bal Rems</t>
  </si>
  <si>
    <t>On November</t>
  </si>
  <si>
    <t>Budgeted</t>
  </si>
  <si>
    <t>Actual</t>
  </si>
  <si>
    <t>Variance</t>
  </si>
  <si>
    <t>Other</t>
  </si>
  <si>
    <t>Total</t>
  </si>
  <si>
    <t>Total Income</t>
  </si>
  <si>
    <t>Total Expenses</t>
  </si>
  <si>
    <t>Net</t>
  </si>
  <si>
    <t>Savings Contribution</t>
  </si>
  <si>
    <t>Description</t>
  </si>
  <si>
    <t>Contribution</t>
  </si>
  <si>
    <t>Return Rate (%)</t>
  </si>
  <si>
    <t>Projected Return</t>
  </si>
  <si>
    <t>Balance</t>
  </si>
  <si>
    <t>M-Pesa MMF August</t>
  </si>
  <si>
    <t>M-Pesa MMF September</t>
  </si>
  <si>
    <t>M-Pesa MMF October</t>
  </si>
  <si>
    <t>M-Pesa MMF November</t>
  </si>
  <si>
    <t>2025-11-02</t>
  </si>
  <si>
    <t>Switch to Gulfcap MMF (12.9% p.a.)</t>
  </si>
  <si>
    <t>Treasury Bills (10%+)</t>
  </si>
  <si>
    <t>SACCO Account (8-10%)</t>
  </si>
  <si>
    <t>Notes: Upgrade from 4-6% M-Pesa to higher yield options like MMFs (up to 13%), T-Bills, SACCOs for better returns. Research and diversify.</t>
  </si>
  <si>
    <t>Goal</t>
  </si>
  <si>
    <t>Cost</t>
  </si>
  <si>
    <t>Status</t>
  </si>
  <si>
    <t>Deadline</t>
  </si>
  <si>
    <t>Funded</t>
  </si>
  <si>
    <t>Remaining</t>
  </si>
  <si>
    <t>Pay for License</t>
  </si>
  <si>
    <t>Done</t>
  </si>
  <si>
    <t>Buy Lamp Light</t>
  </si>
  <si>
    <t>Study/Computer Table</t>
  </si>
  <si>
    <t>Monitor</t>
  </si>
  <si>
    <t>Pending</t>
  </si>
  <si>
    <t>2025-01-01</t>
  </si>
  <si>
    <t>Chair</t>
  </si>
  <si>
    <t>2025-02-01</t>
  </si>
  <si>
    <t>Keyboard</t>
  </si>
  <si>
    <t>2025-03-01</t>
  </si>
  <si>
    <t>Powerful Laptop</t>
  </si>
  <si>
    <t>Get 4 Certifications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</si>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</sst>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tabSelected="1" topLeftCell="A165" workbookViewId="0"/>
  </sheetViews>
  <sheetFormatPr defaultRowHeight="14.4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F2">
        <v>3000</v>
      </c>
    </row>
    <row r="3" spans="1:7" x14ac:dyDescent="0.3">
      <c r="A3" t="s">
        <v>7</v>
      </c>
      <c r="B3" t="s">
        <v>8</v>
      </c>
      <c r="C3" t="s">
        <v>9</v>
      </c>
      <c r="D3" t="s">
        <v>11</v>
      </c>
      <c r="F3">
        <v>6000</v>
      </c>
    </row>
    <row r="4" spans="1:7" x14ac:dyDescent="0.3">
      <c r="A4" t="s">
        <v>7</v>
      </c>
      <c r="B4" t="s">
        <v>8</v>
      </c>
      <c r="C4" t="s">
        <v>9</v>
      </c>
      <c r="D4" t="s">
        <v>12</v>
      </c>
      <c r="F4">
        <v>2000</v>
      </c>
      <c r="G4" t="s">
        <v>13</v>
      </c>
    </row>
    <row r="5" spans="1:7" x14ac:dyDescent="0.3">
      <c r="A5" t="s">
        <v>7</v>
      </c>
      <c r="B5" t="s">
        <v>8</v>
      </c>
      <c r="C5" t="s">
        <v>9</v>
      </c>
      <c r="D5" t="s">
        <v>14</v>
      </c>
      <c r="F5">
        <v>1680</v>
      </c>
    </row>
    <row r="6" spans="1:7" x14ac:dyDescent="0.3">
      <c r="A6" t="s">
        <v>7</v>
      </c>
      <c r="B6" t="s">
        <v>8</v>
      </c>
      <c r="C6" t="s">
        <v>9</v>
      </c>
      <c r="D6" t="s">
        <v>15</v>
      </c>
      <c r="F6">
        <v>1300</v>
      </c>
    </row>
    <row r="7" spans="1:7" x14ac:dyDescent="0.3">
      <c r="A7" t="s">
        <v>7</v>
      </c>
      <c r="B7" t="s">
        <v>8</v>
      </c>
      <c r="C7" t="s">
        <v>9</v>
      </c>
      <c r="D7" t="s">
        <v>16</v>
      </c>
      <c r="E7" t="s">
        <v>17</v>
      </c>
      <c r="F7">
        <v>1270</v>
      </c>
    </row>
    <row r="8" spans="1:7" x14ac:dyDescent="0.3">
      <c r="A8" t="s">
        <v>7</v>
      </c>
      <c r="B8" t="s">
        <v>8</v>
      </c>
      <c r="C8" t="s">
        <v>9</v>
      </c>
      <c r="D8" t="s">
        <v>16</v>
      </c>
      <c r="E8" t="s">
        <v>18</v>
      </c>
      <c r="F8">
        <v>460</v>
      </c>
    </row>
    <row r="9" spans="1:7" x14ac:dyDescent="0.3">
      <c r="A9" t="s">
        <v>7</v>
      </c>
      <c r="B9" t="s">
        <v>8</v>
      </c>
      <c r="C9" t="s">
        <v>9</v>
      </c>
      <c r="D9" t="s">
        <v>19</v>
      </c>
      <c r="F9">
        <v>400</v>
      </c>
    </row>
    <row r="10" spans="1:7" x14ac:dyDescent="0.3">
      <c r="A10" t="s">
        <v>7</v>
      </c>
      <c r="B10" t="s">
        <v>8</v>
      </c>
      <c r="C10" t="s">
        <v>20</v>
      </c>
      <c r="D10" t="s">
        <v>21</v>
      </c>
      <c r="F10">
        <v>20000</v>
      </c>
    </row>
    <row r="11" spans="1:7" x14ac:dyDescent="0.3">
      <c r="A11" t="s">
        <v>7</v>
      </c>
      <c r="B11" t="s">
        <v>8</v>
      </c>
      <c r="C11" t="s">
        <v>20</v>
      </c>
      <c r="D11" t="s">
        <v>22</v>
      </c>
      <c r="F11">
        <v>500</v>
      </c>
    </row>
    <row r="12" spans="1:7" x14ac:dyDescent="0.3">
      <c r="A12" t="s">
        <v>7</v>
      </c>
      <c r="B12" t="s">
        <v>8</v>
      </c>
      <c r="C12" t="s">
        <v>23</v>
      </c>
      <c r="D12" t="s">
        <v>23</v>
      </c>
      <c r="E12" t="s">
        <v>24</v>
      </c>
      <c r="F12">
        <v>5000</v>
      </c>
      <c r="G12" t="s">
        <v>25</v>
      </c>
    </row>
    <row r="13" spans="1:7" x14ac:dyDescent="0.3">
      <c r="A13" t="s">
        <v>26</v>
      </c>
      <c r="B13" t="s">
        <v>27</v>
      </c>
      <c r="C13" t="s">
        <v>9</v>
      </c>
      <c r="D13" t="s">
        <v>10</v>
      </c>
      <c r="E13" t="s">
        <v>28</v>
      </c>
      <c r="F13">
        <v>280</v>
      </c>
    </row>
    <row r="14" spans="1:7" x14ac:dyDescent="0.3">
      <c r="A14" t="s">
        <v>26</v>
      </c>
      <c r="B14" t="s">
        <v>27</v>
      </c>
      <c r="C14" t="s">
        <v>9</v>
      </c>
      <c r="D14" t="s">
        <v>10</v>
      </c>
      <c r="E14" t="s">
        <v>29</v>
      </c>
      <c r="F14">
        <v>200</v>
      </c>
    </row>
    <row r="15" spans="1:7" x14ac:dyDescent="0.3">
      <c r="A15" t="s">
        <v>26</v>
      </c>
      <c r="B15" t="s">
        <v>27</v>
      </c>
      <c r="C15" t="s">
        <v>9</v>
      </c>
      <c r="D15" t="s">
        <v>10</v>
      </c>
      <c r="E15" t="s">
        <v>30</v>
      </c>
      <c r="F15">
        <v>305</v>
      </c>
    </row>
    <row r="16" spans="1:7" x14ac:dyDescent="0.3">
      <c r="A16" t="s">
        <v>26</v>
      </c>
      <c r="B16" t="s">
        <v>27</v>
      </c>
      <c r="C16" t="s">
        <v>9</v>
      </c>
      <c r="D16" t="s">
        <v>10</v>
      </c>
      <c r="E16" t="s">
        <v>31</v>
      </c>
      <c r="F16">
        <v>150</v>
      </c>
    </row>
    <row r="17" spans="1:7" x14ac:dyDescent="0.3">
      <c r="A17" t="s">
        <v>26</v>
      </c>
      <c r="B17" t="s">
        <v>27</v>
      </c>
      <c r="C17" t="s">
        <v>9</v>
      </c>
      <c r="D17" t="s">
        <v>10</v>
      </c>
      <c r="E17" t="s">
        <v>32</v>
      </c>
      <c r="F17">
        <v>330</v>
      </c>
    </row>
    <row r="18" spans="1:7" x14ac:dyDescent="0.3">
      <c r="A18" t="s">
        <v>26</v>
      </c>
      <c r="B18" t="s">
        <v>27</v>
      </c>
      <c r="C18" t="s">
        <v>9</v>
      </c>
      <c r="D18" t="s">
        <v>10</v>
      </c>
      <c r="E18" t="s">
        <v>33</v>
      </c>
      <c r="F18">
        <v>50</v>
      </c>
    </row>
    <row r="19" spans="1:7" x14ac:dyDescent="0.3">
      <c r="A19" t="s">
        <v>26</v>
      </c>
      <c r="B19" t="s">
        <v>27</v>
      </c>
      <c r="C19" t="s">
        <v>9</v>
      </c>
      <c r="D19" t="s">
        <v>10</v>
      </c>
      <c r="E19" t="s">
        <v>34</v>
      </c>
      <c r="F19">
        <v>150</v>
      </c>
    </row>
    <row r="20" spans="1:7" x14ac:dyDescent="0.3">
      <c r="A20" t="s">
        <v>26</v>
      </c>
      <c r="B20" t="s">
        <v>27</v>
      </c>
      <c r="C20" t="s">
        <v>9</v>
      </c>
      <c r="D20" t="s">
        <v>10</v>
      </c>
      <c r="E20" t="s">
        <v>35</v>
      </c>
      <c r="F20">
        <v>865</v>
      </c>
      <c r="G20" t="s">
        <v>36</v>
      </c>
    </row>
    <row r="21" spans="1:7" x14ac:dyDescent="0.3">
      <c r="A21" t="s">
        <v>26</v>
      </c>
      <c r="B21" t="s">
        <v>27</v>
      </c>
      <c r="C21" t="s">
        <v>9</v>
      </c>
      <c r="D21" t="s">
        <v>10</v>
      </c>
      <c r="E21" t="s">
        <v>37</v>
      </c>
      <c r="F21">
        <v>300</v>
      </c>
    </row>
    <row r="22" spans="1:7" x14ac:dyDescent="0.3">
      <c r="A22" t="s">
        <v>26</v>
      </c>
      <c r="B22" t="s">
        <v>27</v>
      </c>
      <c r="C22" t="s">
        <v>9</v>
      </c>
      <c r="D22" t="s">
        <v>10</v>
      </c>
      <c r="E22" t="s">
        <v>38</v>
      </c>
      <c r="F22">
        <v>114</v>
      </c>
    </row>
    <row r="23" spans="1:7" x14ac:dyDescent="0.3">
      <c r="A23" t="s">
        <v>26</v>
      </c>
      <c r="B23" t="s">
        <v>27</v>
      </c>
      <c r="C23" t="s">
        <v>9</v>
      </c>
      <c r="D23" t="s">
        <v>10</v>
      </c>
      <c r="E23" t="s">
        <v>39</v>
      </c>
      <c r="F23">
        <v>100</v>
      </c>
    </row>
    <row r="24" spans="1:7" x14ac:dyDescent="0.3">
      <c r="A24" t="s">
        <v>26</v>
      </c>
      <c r="B24" t="s">
        <v>27</v>
      </c>
      <c r="C24" t="s">
        <v>9</v>
      </c>
      <c r="D24" t="s">
        <v>10</v>
      </c>
      <c r="E24" t="s">
        <v>40</v>
      </c>
      <c r="F24">
        <v>135</v>
      </c>
    </row>
    <row r="25" spans="1:7" x14ac:dyDescent="0.3">
      <c r="A25" t="s">
        <v>26</v>
      </c>
      <c r="B25" t="s">
        <v>27</v>
      </c>
      <c r="C25" t="s">
        <v>9</v>
      </c>
      <c r="D25" t="s">
        <v>10</v>
      </c>
      <c r="E25" t="s">
        <v>41</v>
      </c>
      <c r="F25">
        <v>250</v>
      </c>
    </row>
    <row r="26" spans="1:7" x14ac:dyDescent="0.3">
      <c r="A26" t="s">
        <v>26</v>
      </c>
      <c r="B26" t="s">
        <v>27</v>
      </c>
      <c r="C26" t="s">
        <v>9</v>
      </c>
      <c r="D26" t="s">
        <v>10</v>
      </c>
      <c r="E26" t="s">
        <v>42</v>
      </c>
      <c r="F26">
        <v>150</v>
      </c>
    </row>
    <row r="27" spans="1:7" x14ac:dyDescent="0.3">
      <c r="A27" t="s">
        <v>26</v>
      </c>
      <c r="B27" t="s">
        <v>27</v>
      </c>
      <c r="C27" t="s">
        <v>9</v>
      </c>
      <c r="D27" t="s">
        <v>10</v>
      </c>
      <c r="E27" t="s">
        <v>43</v>
      </c>
      <c r="F27">
        <v>20</v>
      </c>
    </row>
    <row r="28" spans="1:7" x14ac:dyDescent="0.3">
      <c r="A28" t="s">
        <v>26</v>
      </c>
      <c r="B28" t="s">
        <v>27</v>
      </c>
      <c r="C28" t="s">
        <v>9</v>
      </c>
      <c r="D28" t="s">
        <v>10</v>
      </c>
      <c r="E28" t="s">
        <v>44</v>
      </c>
      <c r="F28">
        <v>150</v>
      </c>
      <c r="G28" t="s">
        <v>45</v>
      </c>
    </row>
    <row r="29" spans="1:7" x14ac:dyDescent="0.3">
      <c r="A29" t="s">
        <v>26</v>
      </c>
      <c r="B29" t="s">
        <v>27</v>
      </c>
      <c r="C29" t="s">
        <v>9</v>
      </c>
      <c r="D29" t="s">
        <v>10</v>
      </c>
      <c r="E29" t="s">
        <v>46</v>
      </c>
      <c r="F29">
        <v>70</v>
      </c>
    </row>
    <row r="30" spans="1:7" x14ac:dyDescent="0.3">
      <c r="A30" t="s">
        <v>26</v>
      </c>
      <c r="B30" t="s">
        <v>27</v>
      </c>
      <c r="C30" t="s">
        <v>9</v>
      </c>
      <c r="D30" t="s">
        <v>10</v>
      </c>
      <c r="E30" t="s">
        <v>47</v>
      </c>
      <c r="F30">
        <v>20</v>
      </c>
    </row>
    <row r="31" spans="1:7" x14ac:dyDescent="0.3">
      <c r="A31" t="s">
        <v>26</v>
      </c>
      <c r="B31" t="s">
        <v>27</v>
      </c>
      <c r="C31" t="s">
        <v>9</v>
      </c>
      <c r="D31" t="s">
        <v>10</v>
      </c>
      <c r="E31" t="s">
        <v>48</v>
      </c>
      <c r="F31">
        <v>110</v>
      </c>
    </row>
    <row r="32" spans="1:7" x14ac:dyDescent="0.3">
      <c r="A32" t="s">
        <v>26</v>
      </c>
      <c r="B32" t="s">
        <v>27</v>
      </c>
      <c r="C32" t="s">
        <v>9</v>
      </c>
      <c r="D32" t="s">
        <v>10</v>
      </c>
      <c r="E32" t="s">
        <v>49</v>
      </c>
      <c r="F32">
        <v>50</v>
      </c>
    </row>
    <row r="33" spans="1:7" x14ac:dyDescent="0.3">
      <c r="A33" t="s">
        <v>26</v>
      </c>
      <c r="B33" t="s">
        <v>27</v>
      </c>
      <c r="C33" t="s">
        <v>9</v>
      </c>
      <c r="D33" t="s">
        <v>10</v>
      </c>
      <c r="E33" t="s">
        <v>50</v>
      </c>
      <c r="F33">
        <v>40</v>
      </c>
    </row>
    <row r="34" spans="1:7" x14ac:dyDescent="0.3">
      <c r="A34" t="s">
        <v>26</v>
      </c>
      <c r="B34" t="s">
        <v>27</v>
      </c>
      <c r="C34" t="s">
        <v>9</v>
      </c>
      <c r="D34" t="s">
        <v>10</v>
      </c>
      <c r="E34" t="s">
        <v>51</v>
      </c>
      <c r="F34">
        <v>60</v>
      </c>
    </row>
    <row r="35" spans="1:7" x14ac:dyDescent="0.3">
      <c r="A35" t="s">
        <v>26</v>
      </c>
      <c r="B35" t="s">
        <v>27</v>
      </c>
      <c r="C35" t="s">
        <v>9</v>
      </c>
      <c r="D35" t="s">
        <v>10</v>
      </c>
      <c r="E35" t="s">
        <v>38</v>
      </c>
      <c r="F35">
        <v>250</v>
      </c>
      <c r="G35" t="s">
        <v>52</v>
      </c>
    </row>
    <row r="36" spans="1:7" x14ac:dyDescent="0.3">
      <c r="A36" t="s">
        <v>26</v>
      </c>
      <c r="B36" t="s">
        <v>27</v>
      </c>
      <c r="C36" t="s">
        <v>9</v>
      </c>
      <c r="D36" t="s">
        <v>10</v>
      </c>
      <c r="E36" t="s">
        <v>53</v>
      </c>
      <c r="F36">
        <v>230</v>
      </c>
    </row>
    <row r="37" spans="1:7" x14ac:dyDescent="0.3">
      <c r="A37" t="s">
        <v>26</v>
      </c>
      <c r="B37" t="s">
        <v>27</v>
      </c>
      <c r="C37" t="s">
        <v>9</v>
      </c>
      <c r="D37" t="s">
        <v>54</v>
      </c>
      <c r="E37" t="s">
        <v>55</v>
      </c>
      <c r="F37">
        <v>150</v>
      </c>
    </row>
    <row r="38" spans="1:7" x14ac:dyDescent="0.3">
      <c r="A38" t="s">
        <v>26</v>
      </c>
      <c r="B38" t="s">
        <v>27</v>
      </c>
      <c r="C38" t="s">
        <v>9</v>
      </c>
      <c r="D38" t="s">
        <v>54</v>
      </c>
      <c r="E38" t="s">
        <v>56</v>
      </c>
      <c r="F38">
        <v>80</v>
      </c>
    </row>
    <row r="39" spans="1:7" x14ac:dyDescent="0.3">
      <c r="A39" t="s">
        <v>26</v>
      </c>
      <c r="B39" t="s">
        <v>27</v>
      </c>
      <c r="C39" t="s">
        <v>9</v>
      </c>
      <c r="D39" t="s">
        <v>54</v>
      </c>
      <c r="E39" t="s">
        <v>57</v>
      </c>
      <c r="F39">
        <v>40</v>
      </c>
    </row>
    <row r="40" spans="1:7" x14ac:dyDescent="0.3">
      <c r="A40" t="s">
        <v>26</v>
      </c>
      <c r="B40" t="s">
        <v>27</v>
      </c>
      <c r="C40" t="s">
        <v>9</v>
      </c>
      <c r="D40" t="s">
        <v>54</v>
      </c>
      <c r="E40" t="s">
        <v>58</v>
      </c>
      <c r="F40">
        <v>120</v>
      </c>
    </row>
    <row r="41" spans="1:7" x14ac:dyDescent="0.3">
      <c r="A41" t="s">
        <v>26</v>
      </c>
      <c r="B41" t="s">
        <v>27</v>
      </c>
      <c r="C41" t="s">
        <v>9</v>
      </c>
      <c r="D41" t="s">
        <v>54</v>
      </c>
      <c r="E41" t="s">
        <v>59</v>
      </c>
      <c r="F41">
        <v>20</v>
      </c>
    </row>
    <row r="42" spans="1:7" x14ac:dyDescent="0.3">
      <c r="A42" t="s">
        <v>26</v>
      </c>
      <c r="B42" t="s">
        <v>27</v>
      </c>
      <c r="C42" t="s">
        <v>9</v>
      </c>
      <c r="D42" t="s">
        <v>54</v>
      </c>
      <c r="E42" t="s">
        <v>60</v>
      </c>
      <c r="F42">
        <v>30</v>
      </c>
      <c r="G42" t="s">
        <v>61</v>
      </c>
    </row>
    <row r="43" spans="1:7" x14ac:dyDescent="0.3">
      <c r="A43" t="s">
        <v>26</v>
      </c>
      <c r="B43" t="s">
        <v>27</v>
      </c>
      <c r="C43" t="s">
        <v>9</v>
      </c>
      <c r="D43" t="s">
        <v>54</v>
      </c>
      <c r="E43" t="s">
        <v>62</v>
      </c>
      <c r="F43">
        <v>30</v>
      </c>
      <c r="G43" t="s">
        <v>61</v>
      </c>
    </row>
    <row r="44" spans="1:7" x14ac:dyDescent="0.3">
      <c r="A44" t="s">
        <v>26</v>
      </c>
      <c r="B44" t="s">
        <v>27</v>
      </c>
      <c r="C44" t="s">
        <v>9</v>
      </c>
      <c r="D44" t="s">
        <v>54</v>
      </c>
      <c r="E44" t="s">
        <v>63</v>
      </c>
      <c r="F44">
        <v>20</v>
      </c>
      <c r="G44" t="s">
        <v>61</v>
      </c>
    </row>
    <row r="45" spans="1:7" x14ac:dyDescent="0.3">
      <c r="A45" t="s">
        <v>26</v>
      </c>
      <c r="B45" t="s">
        <v>27</v>
      </c>
      <c r="C45" t="s">
        <v>9</v>
      </c>
      <c r="D45" t="s">
        <v>54</v>
      </c>
      <c r="E45" t="s">
        <v>64</v>
      </c>
      <c r="F45">
        <v>30</v>
      </c>
      <c r="G45" t="s">
        <v>61</v>
      </c>
    </row>
    <row r="46" spans="1:7" x14ac:dyDescent="0.3">
      <c r="A46" t="s">
        <v>26</v>
      </c>
      <c r="B46" t="s">
        <v>27</v>
      </c>
      <c r="C46" t="s">
        <v>9</v>
      </c>
      <c r="D46" t="s">
        <v>54</v>
      </c>
      <c r="E46" t="s">
        <v>65</v>
      </c>
      <c r="F46">
        <v>30</v>
      </c>
      <c r="G46" t="s">
        <v>61</v>
      </c>
    </row>
    <row r="47" spans="1:7" x14ac:dyDescent="0.3">
      <c r="A47" t="s">
        <v>26</v>
      </c>
      <c r="B47" t="s">
        <v>27</v>
      </c>
      <c r="C47" t="s">
        <v>9</v>
      </c>
      <c r="D47" t="s">
        <v>11</v>
      </c>
      <c r="F47">
        <v>6000</v>
      </c>
    </row>
    <row r="48" spans="1:7" x14ac:dyDescent="0.3">
      <c r="A48" t="s">
        <v>26</v>
      </c>
      <c r="B48" t="s">
        <v>27</v>
      </c>
      <c r="C48" t="s">
        <v>9</v>
      </c>
      <c r="D48" t="s">
        <v>12</v>
      </c>
      <c r="E48" t="s">
        <v>66</v>
      </c>
      <c r="F48">
        <v>200</v>
      </c>
    </row>
    <row r="49" spans="1:6" x14ac:dyDescent="0.3">
      <c r="A49" t="s">
        <v>26</v>
      </c>
      <c r="B49" t="s">
        <v>27</v>
      </c>
      <c r="C49" t="s">
        <v>9</v>
      </c>
      <c r="D49" t="s">
        <v>12</v>
      </c>
      <c r="E49" t="s">
        <v>67</v>
      </c>
      <c r="F49">
        <v>200</v>
      </c>
    </row>
    <row r="50" spans="1:6" x14ac:dyDescent="0.3">
      <c r="A50" t="s">
        <v>26</v>
      </c>
      <c r="B50" t="s">
        <v>27</v>
      </c>
      <c r="C50" t="s">
        <v>9</v>
      </c>
      <c r="D50" t="s">
        <v>12</v>
      </c>
      <c r="E50" t="s">
        <v>68</v>
      </c>
      <c r="F50">
        <v>80</v>
      </c>
    </row>
    <row r="51" spans="1:6" x14ac:dyDescent="0.3">
      <c r="A51" t="s">
        <v>26</v>
      </c>
      <c r="B51" t="s">
        <v>27</v>
      </c>
      <c r="C51" t="s">
        <v>9</v>
      </c>
      <c r="D51" t="s">
        <v>12</v>
      </c>
      <c r="E51" t="s">
        <v>69</v>
      </c>
      <c r="F51">
        <v>69</v>
      </c>
    </row>
    <row r="52" spans="1:6" x14ac:dyDescent="0.3">
      <c r="A52" t="s">
        <v>26</v>
      </c>
      <c r="B52" t="s">
        <v>27</v>
      </c>
      <c r="C52" t="s">
        <v>9</v>
      </c>
      <c r="D52" t="s">
        <v>12</v>
      </c>
      <c r="E52" t="s">
        <v>70</v>
      </c>
      <c r="F52">
        <v>20</v>
      </c>
    </row>
    <row r="53" spans="1:6" x14ac:dyDescent="0.3">
      <c r="A53" t="s">
        <v>26</v>
      </c>
      <c r="B53" t="s">
        <v>27</v>
      </c>
      <c r="C53" t="s">
        <v>9</v>
      </c>
      <c r="D53" t="s">
        <v>12</v>
      </c>
      <c r="E53" t="s">
        <v>71</v>
      </c>
      <c r="F53">
        <v>416</v>
      </c>
    </row>
    <row r="54" spans="1:6" x14ac:dyDescent="0.3">
      <c r="A54" t="s">
        <v>26</v>
      </c>
      <c r="B54" t="s">
        <v>27</v>
      </c>
      <c r="C54" t="s">
        <v>9</v>
      </c>
      <c r="D54" t="s">
        <v>12</v>
      </c>
      <c r="E54" t="s">
        <v>72</v>
      </c>
      <c r="F54">
        <v>98</v>
      </c>
    </row>
    <row r="55" spans="1:6" x14ac:dyDescent="0.3">
      <c r="A55" t="s">
        <v>26</v>
      </c>
      <c r="B55" t="s">
        <v>27</v>
      </c>
      <c r="C55" t="s">
        <v>9</v>
      </c>
      <c r="D55" t="s">
        <v>12</v>
      </c>
      <c r="E55" t="s">
        <v>73</v>
      </c>
      <c r="F55">
        <v>35</v>
      </c>
    </row>
    <row r="56" spans="1:6" x14ac:dyDescent="0.3">
      <c r="A56" t="s">
        <v>26</v>
      </c>
      <c r="B56" t="s">
        <v>27</v>
      </c>
      <c r="C56" t="s">
        <v>9</v>
      </c>
      <c r="D56" t="s">
        <v>14</v>
      </c>
      <c r="E56" t="s">
        <v>74</v>
      </c>
      <c r="F56">
        <v>480</v>
      </c>
    </row>
    <row r="57" spans="1:6" x14ac:dyDescent="0.3">
      <c r="A57" t="s">
        <v>26</v>
      </c>
      <c r="B57" t="s">
        <v>27</v>
      </c>
      <c r="C57" t="s">
        <v>9</v>
      </c>
      <c r="D57" t="s">
        <v>14</v>
      </c>
      <c r="E57" t="s">
        <v>16</v>
      </c>
      <c r="F57">
        <v>60</v>
      </c>
    </row>
    <row r="58" spans="1:6" x14ac:dyDescent="0.3">
      <c r="A58" t="s">
        <v>26</v>
      </c>
      <c r="B58" t="s">
        <v>27</v>
      </c>
      <c r="C58" t="s">
        <v>9</v>
      </c>
      <c r="D58" t="s">
        <v>14</v>
      </c>
      <c r="E58" t="s">
        <v>75</v>
      </c>
      <c r="F58">
        <v>70</v>
      </c>
    </row>
    <row r="59" spans="1:6" x14ac:dyDescent="0.3">
      <c r="A59" t="s">
        <v>26</v>
      </c>
      <c r="B59" t="s">
        <v>27</v>
      </c>
      <c r="C59" t="s">
        <v>9</v>
      </c>
      <c r="D59" t="s">
        <v>14</v>
      </c>
      <c r="E59" t="s">
        <v>59</v>
      </c>
      <c r="F59">
        <v>20</v>
      </c>
    </row>
    <row r="60" spans="1:6" x14ac:dyDescent="0.3">
      <c r="A60" t="s">
        <v>26</v>
      </c>
      <c r="B60" t="s">
        <v>27</v>
      </c>
      <c r="C60" t="s">
        <v>9</v>
      </c>
      <c r="D60" t="s">
        <v>14</v>
      </c>
      <c r="E60" t="s">
        <v>76</v>
      </c>
      <c r="F60">
        <v>120</v>
      </c>
    </row>
    <row r="61" spans="1:6" x14ac:dyDescent="0.3">
      <c r="A61" t="s">
        <v>26</v>
      </c>
      <c r="B61" t="s">
        <v>27</v>
      </c>
      <c r="C61" t="s">
        <v>9</v>
      </c>
      <c r="D61" t="s">
        <v>14</v>
      </c>
      <c r="E61" t="s">
        <v>77</v>
      </c>
      <c r="F61">
        <v>120</v>
      </c>
    </row>
    <row r="62" spans="1:6" x14ac:dyDescent="0.3">
      <c r="A62" t="s">
        <v>26</v>
      </c>
      <c r="B62" t="s">
        <v>27</v>
      </c>
      <c r="C62" t="s">
        <v>9</v>
      </c>
      <c r="D62" t="s">
        <v>14</v>
      </c>
      <c r="E62" t="s">
        <v>78</v>
      </c>
      <c r="F62">
        <v>120</v>
      </c>
    </row>
    <row r="63" spans="1:6" x14ac:dyDescent="0.3">
      <c r="A63" t="s">
        <v>26</v>
      </c>
      <c r="B63" t="s">
        <v>27</v>
      </c>
      <c r="C63" t="s">
        <v>9</v>
      </c>
      <c r="D63" t="s">
        <v>14</v>
      </c>
      <c r="E63" t="s">
        <v>79</v>
      </c>
      <c r="F63">
        <v>120</v>
      </c>
    </row>
    <row r="64" spans="1:6" x14ac:dyDescent="0.3">
      <c r="A64" t="s">
        <v>26</v>
      </c>
      <c r="B64" t="s">
        <v>27</v>
      </c>
      <c r="C64" t="s">
        <v>9</v>
      </c>
      <c r="D64" t="s">
        <v>15</v>
      </c>
      <c r="E64" t="s">
        <v>80</v>
      </c>
      <c r="F64">
        <v>500</v>
      </c>
    </row>
    <row r="65" spans="1:7" x14ac:dyDescent="0.3">
      <c r="A65" t="s">
        <v>26</v>
      </c>
      <c r="B65" t="s">
        <v>27</v>
      </c>
      <c r="C65" t="s">
        <v>9</v>
      </c>
      <c r="D65" t="s">
        <v>15</v>
      </c>
      <c r="E65" t="s">
        <v>81</v>
      </c>
      <c r="F65">
        <v>1100</v>
      </c>
    </row>
    <row r="66" spans="1:7" x14ac:dyDescent="0.3">
      <c r="A66" t="s">
        <v>26</v>
      </c>
      <c r="B66" t="s">
        <v>27</v>
      </c>
      <c r="C66" t="s">
        <v>9</v>
      </c>
      <c r="D66" t="s">
        <v>15</v>
      </c>
      <c r="E66" t="s">
        <v>80</v>
      </c>
      <c r="F66">
        <v>1000</v>
      </c>
    </row>
    <row r="67" spans="1:7" x14ac:dyDescent="0.3">
      <c r="A67" t="s">
        <v>26</v>
      </c>
      <c r="B67" t="s">
        <v>27</v>
      </c>
      <c r="C67" t="s">
        <v>9</v>
      </c>
      <c r="D67" t="s">
        <v>15</v>
      </c>
      <c r="E67" t="s">
        <v>82</v>
      </c>
      <c r="F67">
        <v>500</v>
      </c>
    </row>
    <row r="68" spans="1:7" x14ac:dyDescent="0.3">
      <c r="A68" t="s">
        <v>26</v>
      </c>
      <c r="B68" t="s">
        <v>27</v>
      </c>
      <c r="C68" t="s">
        <v>9</v>
      </c>
      <c r="D68" t="s">
        <v>15</v>
      </c>
      <c r="E68" t="s">
        <v>83</v>
      </c>
      <c r="F68">
        <v>200</v>
      </c>
    </row>
    <row r="69" spans="1:7" x14ac:dyDescent="0.3">
      <c r="A69" t="s">
        <v>26</v>
      </c>
      <c r="B69" t="s">
        <v>27</v>
      </c>
      <c r="C69" t="s">
        <v>9</v>
      </c>
      <c r="D69" t="s">
        <v>15</v>
      </c>
      <c r="E69" t="s">
        <v>84</v>
      </c>
      <c r="F69">
        <v>150</v>
      </c>
    </row>
    <row r="70" spans="1:7" x14ac:dyDescent="0.3">
      <c r="A70" t="s">
        <v>26</v>
      </c>
      <c r="B70" t="s">
        <v>27</v>
      </c>
      <c r="C70" t="s">
        <v>9</v>
      </c>
      <c r="D70" t="s">
        <v>15</v>
      </c>
      <c r="E70" t="s">
        <v>85</v>
      </c>
      <c r="F70">
        <v>20</v>
      </c>
    </row>
    <row r="71" spans="1:7" x14ac:dyDescent="0.3">
      <c r="A71" t="s">
        <v>26</v>
      </c>
      <c r="B71" t="s">
        <v>27</v>
      </c>
      <c r="C71" t="s">
        <v>9</v>
      </c>
      <c r="D71" t="s">
        <v>19</v>
      </c>
      <c r="E71" t="s">
        <v>86</v>
      </c>
      <c r="F71">
        <v>80</v>
      </c>
    </row>
    <row r="72" spans="1:7" x14ac:dyDescent="0.3">
      <c r="A72" t="s">
        <v>26</v>
      </c>
      <c r="B72" t="s">
        <v>27</v>
      </c>
      <c r="C72" t="s">
        <v>9</v>
      </c>
      <c r="D72" t="s">
        <v>19</v>
      </c>
      <c r="E72" t="s">
        <v>87</v>
      </c>
      <c r="F72">
        <v>40</v>
      </c>
    </row>
    <row r="73" spans="1:7" x14ac:dyDescent="0.3">
      <c r="A73" t="s">
        <v>26</v>
      </c>
      <c r="B73" t="s">
        <v>27</v>
      </c>
      <c r="C73" t="s">
        <v>9</v>
      </c>
      <c r="D73" t="s">
        <v>19</v>
      </c>
      <c r="E73" t="s">
        <v>88</v>
      </c>
      <c r="F73">
        <v>90</v>
      </c>
      <c r="G73" t="s">
        <v>89</v>
      </c>
    </row>
    <row r="74" spans="1:7" x14ac:dyDescent="0.3">
      <c r="A74" t="s">
        <v>26</v>
      </c>
      <c r="B74" t="s">
        <v>27</v>
      </c>
      <c r="C74" t="s">
        <v>9</v>
      </c>
      <c r="D74" t="s">
        <v>19</v>
      </c>
      <c r="E74" t="s">
        <v>90</v>
      </c>
      <c r="F74">
        <v>50</v>
      </c>
    </row>
    <row r="75" spans="1:7" x14ac:dyDescent="0.3">
      <c r="A75" t="s">
        <v>26</v>
      </c>
      <c r="B75" t="s">
        <v>27</v>
      </c>
      <c r="C75" t="s">
        <v>9</v>
      </c>
      <c r="D75" t="s">
        <v>19</v>
      </c>
      <c r="E75" t="s">
        <v>91</v>
      </c>
      <c r="F75">
        <v>20</v>
      </c>
    </row>
    <row r="76" spans="1:7" x14ac:dyDescent="0.3">
      <c r="A76" t="s">
        <v>26</v>
      </c>
      <c r="B76" t="s">
        <v>27</v>
      </c>
      <c r="C76" t="s">
        <v>9</v>
      </c>
      <c r="D76" t="s">
        <v>92</v>
      </c>
      <c r="F76">
        <v>750</v>
      </c>
    </row>
    <row r="77" spans="1:7" x14ac:dyDescent="0.3">
      <c r="A77" t="s">
        <v>26</v>
      </c>
      <c r="B77" t="s">
        <v>27</v>
      </c>
      <c r="C77" t="s">
        <v>9</v>
      </c>
      <c r="D77" t="s">
        <v>93</v>
      </c>
      <c r="F77">
        <v>3000</v>
      </c>
    </row>
    <row r="78" spans="1:7" x14ac:dyDescent="0.3">
      <c r="A78" t="s">
        <v>26</v>
      </c>
      <c r="B78" t="s">
        <v>27</v>
      </c>
      <c r="C78" t="s">
        <v>9</v>
      </c>
      <c r="D78" t="s">
        <v>94</v>
      </c>
      <c r="F78">
        <v>10000</v>
      </c>
    </row>
    <row r="79" spans="1:7" x14ac:dyDescent="0.3">
      <c r="A79" t="s">
        <v>26</v>
      </c>
      <c r="B79" t="s">
        <v>27</v>
      </c>
      <c r="C79" t="s">
        <v>9</v>
      </c>
      <c r="D79" t="s">
        <v>95</v>
      </c>
      <c r="F79">
        <v>3000</v>
      </c>
    </row>
    <row r="80" spans="1:7" x14ac:dyDescent="0.3">
      <c r="A80" t="s">
        <v>26</v>
      </c>
      <c r="B80" t="s">
        <v>27</v>
      </c>
      <c r="C80" t="s">
        <v>20</v>
      </c>
      <c r="D80" t="s">
        <v>21</v>
      </c>
      <c r="F80">
        <v>20000</v>
      </c>
    </row>
    <row r="81" spans="1:7" x14ac:dyDescent="0.3">
      <c r="A81" t="s">
        <v>26</v>
      </c>
      <c r="B81" t="s">
        <v>27</v>
      </c>
      <c r="C81" t="s">
        <v>20</v>
      </c>
      <c r="D81" t="s">
        <v>96</v>
      </c>
      <c r="F81">
        <v>1800</v>
      </c>
    </row>
    <row r="82" spans="1:7" x14ac:dyDescent="0.3">
      <c r="A82" t="s">
        <v>26</v>
      </c>
      <c r="B82" t="s">
        <v>27</v>
      </c>
      <c r="C82" t="s">
        <v>20</v>
      </c>
      <c r="D82" t="s">
        <v>97</v>
      </c>
      <c r="F82">
        <v>15750</v>
      </c>
    </row>
    <row r="83" spans="1:7" x14ac:dyDescent="0.3">
      <c r="A83" t="s">
        <v>26</v>
      </c>
      <c r="B83" t="s">
        <v>27</v>
      </c>
      <c r="C83" t="s">
        <v>23</v>
      </c>
      <c r="D83" t="s">
        <v>23</v>
      </c>
      <c r="E83" t="s">
        <v>98</v>
      </c>
      <c r="F83">
        <v>7200</v>
      </c>
    </row>
    <row r="84" spans="1:7" x14ac:dyDescent="0.3">
      <c r="A84" t="s">
        <v>26</v>
      </c>
      <c r="B84" t="s">
        <v>27</v>
      </c>
      <c r="C84" t="s">
        <v>23</v>
      </c>
      <c r="D84" t="s">
        <v>23</v>
      </c>
      <c r="E84" t="s">
        <v>24</v>
      </c>
      <c r="F84">
        <v>5000</v>
      </c>
    </row>
    <row r="85" spans="1:7" x14ac:dyDescent="0.3">
      <c r="A85" t="s">
        <v>26</v>
      </c>
      <c r="B85" t="s">
        <v>27</v>
      </c>
      <c r="C85" t="s">
        <v>23</v>
      </c>
      <c r="D85" t="s">
        <v>23</v>
      </c>
      <c r="E85" t="s">
        <v>99</v>
      </c>
      <c r="F85">
        <v>7500</v>
      </c>
    </row>
    <row r="86" spans="1:7" x14ac:dyDescent="0.3">
      <c r="A86" t="s">
        <v>100</v>
      </c>
      <c r="B86" t="s">
        <v>101</v>
      </c>
      <c r="C86" t="s">
        <v>9</v>
      </c>
      <c r="D86" t="s">
        <v>11</v>
      </c>
      <c r="F86">
        <v>6200</v>
      </c>
    </row>
    <row r="87" spans="1:7" x14ac:dyDescent="0.3">
      <c r="A87" t="s">
        <v>100</v>
      </c>
      <c r="B87" t="s">
        <v>101</v>
      </c>
      <c r="C87" t="s">
        <v>9</v>
      </c>
      <c r="D87" t="s">
        <v>10</v>
      </c>
      <c r="E87" t="s">
        <v>102</v>
      </c>
      <c r="F87">
        <v>147</v>
      </c>
    </row>
    <row r="88" spans="1:7" x14ac:dyDescent="0.3">
      <c r="A88" t="s">
        <v>100</v>
      </c>
      <c r="B88" t="s">
        <v>101</v>
      </c>
      <c r="C88" t="s">
        <v>9</v>
      </c>
      <c r="D88" t="s">
        <v>10</v>
      </c>
      <c r="E88" t="s">
        <v>103</v>
      </c>
      <c r="F88">
        <v>234</v>
      </c>
      <c r="G88" t="s">
        <v>104</v>
      </c>
    </row>
    <row r="89" spans="1:7" x14ac:dyDescent="0.3">
      <c r="A89" t="s">
        <v>100</v>
      </c>
      <c r="B89" t="s">
        <v>101</v>
      </c>
      <c r="C89" t="s">
        <v>9</v>
      </c>
      <c r="D89" t="s">
        <v>10</v>
      </c>
      <c r="E89" t="s">
        <v>31</v>
      </c>
      <c r="F89">
        <v>70</v>
      </c>
    </row>
    <row r="90" spans="1:7" x14ac:dyDescent="0.3">
      <c r="A90" t="s">
        <v>100</v>
      </c>
      <c r="B90" t="s">
        <v>101</v>
      </c>
      <c r="C90" t="s">
        <v>9</v>
      </c>
      <c r="D90" t="s">
        <v>10</v>
      </c>
      <c r="E90" t="s">
        <v>32</v>
      </c>
      <c r="F90">
        <v>120</v>
      </c>
    </row>
    <row r="91" spans="1:7" x14ac:dyDescent="0.3">
      <c r="A91" t="s">
        <v>100</v>
      </c>
      <c r="B91" t="s">
        <v>101</v>
      </c>
      <c r="C91" t="s">
        <v>9</v>
      </c>
      <c r="D91" t="s">
        <v>10</v>
      </c>
      <c r="E91" t="s">
        <v>33</v>
      </c>
      <c r="F91">
        <v>25</v>
      </c>
    </row>
    <row r="92" spans="1:7" x14ac:dyDescent="0.3">
      <c r="A92" t="s">
        <v>100</v>
      </c>
      <c r="B92" t="s">
        <v>101</v>
      </c>
      <c r="C92" t="s">
        <v>9</v>
      </c>
      <c r="D92" t="s">
        <v>10</v>
      </c>
      <c r="E92" t="s">
        <v>34</v>
      </c>
      <c r="F92">
        <v>100</v>
      </c>
    </row>
    <row r="93" spans="1:7" x14ac:dyDescent="0.3">
      <c r="A93" t="s">
        <v>100</v>
      </c>
      <c r="B93" t="s">
        <v>101</v>
      </c>
      <c r="C93" t="s">
        <v>9</v>
      </c>
      <c r="D93" t="s">
        <v>10</v>
      </c>
      <c r="E93" t="s">
        <v>35</v>
      </c>
      <c r="F93">
        <v>0</v>
      </c>
      <c r="G93" t="s">
        <v>36</v>
      </c>
    </row>
    <row r="94" spans="1:7" x14ac:dyDescent="0.3">
      <c r="A94" t="s">
        <v>100</v>
      </c>
      <c r="B94" t="s">
        <v>101</v>
      </c>
      <c r="C94" t="s">
        <v>9</v>
      </c>
      <c r="D94" t="s">
        <v>10</v>
      </c>
      <c r="E94" t="s">
        <v>37</v>
      </c>
      <c r="F94">
        <v>335</v>
      </c>
      <c r="G94" t="s">
        <v>105</v>
      </c>
    </row>
    <row r="95" spans="1:7" x14ac:dyDescent="0.3">
      <c r="A95" t="s">
        <v>100</v>
      </c>
      <c r="B95" t="s">
        <v>101</v>
      </c>
      <c r="C95" t="s">
        <v>9</v>
      </c>
      <c r="D95" t="s">
        <v>10</v>
      </c>
      <c r="E95" t="s">
        <v>39</v>
      </c>
      <c r="F95">
        <v>0</v>
      </c>
    </row>
    <row r="96" spans="1:7" x14ac:dyDescent="0.3">
      <c r="A96" t="s">
        <v>100</v>
      </c>
      <c r="B96" t="s">
        <v>101</v>
      </c>
      <c r="C96" t="s">
        <v>9</v>
      </c>
      <c r="D96" t="s">
        <v>10</v>
      </c>
      <c r="E96" t="s">
        <v>40</v>
      </c>
      <c r="F96">
        <v>30</v>
      </c>
      <c r="G96" t="s">
        <v>106</v>
      </c>
    </row>
    <row r="97" spans="1:7" x14ac:dyDescent="0.3">
      <c r="A97" t="s">
        <v>100</v>
      </c>
      <c r="B97" t="s">
        <v>101</v>
      </c>
      <c r="C97" t="s">
        <v>9</v>
      </c>
      <c r="D97" t="s">
        <v>10</v>
      </c>
      <c r="E97" t="s">
        <v>41</v>
      </c>
      <c r="F97">
        <v>0</v>
      </c>
    </row>
    <row r="98" spans="1:7" x14ac:dyDescent="0.3">
      <c r="A98" t="s">
        <v>100</v>
      </c>
      <c r="B98" t="s">
        <v>101</v>
      </c>
      <c r="C98" t="s">
        <v>9</v>
      </c>
      <c r="D98" t="s">
        <v>10</v>
      </c>
      <c r="E98" t="s">
        <v>42</v>
      </c>
      <c r="F98">
        <v>241</v>
      </c>
      <c r="G98" t="s">
        <v>107</v>
      </c>
    </row>
    <row r="99" spans="1:7" x14ac:dyDescent="0.3">
      <c r="A99" t="s">
        <v>100</v>
      </c>
      <c r="B99" t="s">
        <v>101</v>
      </c>
      <c r="C99" t="s">
        <v>9</v>
      </c>
      <c r="D99" t="s">
        <v>10</v>
      </c>
      <c r="E99" t="s">
        <v>43</v>
      </c>
      <c r="F99">
        <v>20</v>
      </c>
    </row>
    <row r="100" spans="1:7" x14ac:dyDescent="0.3">
      <c r="A100" t="s">
        <v>100</v>
      </c>
      <c r="B100" t="s">
        <v>101</v>
      </c>
      <c r="C100" t="s">
        <v>9</v>
      </c>
      <c r="D100" t="s">
        <v>10</v>
      </c>
      <c r="E100" t="s">
        <v>44</v>
      </c>
      <c r="F100">
        <v>200</v>
      </c>
      <c r="G100" t="s">
        <v>108</v>
      </c>
    </row>
    <row r="101" spans="1:7" x14ac:dyDescent="0.3">
      <c r="A101" t="s">
        <v>100</v>
      </c>
      <c r="B101" t="s">
        <v>101</v>
      </c>
      <c r="C101" t="s">
        <v>9</v>
      </c>
      <c r="D101" t="s">
        <v>10</v>
      </c>
      <c r="E101" t="s">
        <v>46</v>
      </c>
      <c r="F101">
        <v>50</v>
      </c>
    </row>
    <row r="102" spans="1:7" x14ac:dyDescent="0.3">
      <c r="A102" t="s">
        <v>100</v>
      </c>
      <c r="B102" t="s">
        <v>101</v>
      </c>
      <c r="C102" t="s">
        <v>9</v>
      </c>
      <c r="D102" t="s">
        <v>10</v>
      </c>
      <c r="E102" t="s">
        <v>47</v>
      </c>
      <c r="F102">
        <v>10</v>
      </c>
    </row>
    <row r="103" spans="1:7" x14ac:dyDescent="0.3">
      <c r="A103" t="s">
        <v>100</v>
      </c>
      <c r="B103" t="s">
        <v>101</v>
      </c>
      <c r="C103" t="s">
        <v>9</v>
      </c>
      <c r="D103" t="s">
        <v>10</v>
      </c>
      <c r="E103" t="s">
        <v>48</v>
      </c>
      <c r="F103">
        <v>50</v>
      </c>
      <c r="G103" t="s">
        <v>109</v>
      </c>
    </row>
    <row r="104" spans="1:7" x14ac:dyDescent="0.3">
      <c r="A104" t="s">
        <v>100</v>
      </c>
      <c r="B104" t="s">
        <v>101</v>
      </c>
      <c r="C104" t="s">
        <v>9</v>
      </c>
      <c r="D104" t="s">
        <v>10</v>
      </c>
      <c r="E104" t="s">
        <v>51</v>
      </c>
      <c r="F104">
        <v>210</v>
      </c>
    </row>
    <row r="105" spans="1:7" x14ac:dyDescent="0.3">
      <c r="A105" t="s">
        <v>100</v>
      </c>
      <c r="B105" t="s">
        <v>101</v>
      </c>
      <c r="C105" t="s">
        <v>9</v>
      </c>
      <c r="D105" t="s">
        <v>54</v>
      </c>
      <c r="E105" t="s">
        <v>110</v>
      </c>
      <c r="F105">
        <v>30</v>
      </c>
      <c r="G105" t="s">
        <v>61</v>
      </c>
    </row>
    <row r="106" spans="1:7" x14ac:dyDescent="0.3">
      <c r="A106" t="s">
        <v>100</v>
      </c>
      <c r="B106" t="s">
        <v>101</v>
      </c>
      <c r="C106" t="s">
        <v>9</v>
      </c>
      <c r="D106" t="s">
        <v>54</v>
      </c>
      <c r="E106" t="s">
        <v>111</v>
      </c>
      <c r="F106">
        <v>30</v>
      </c>
      <c r="G106" t="s">
        <v>61</v>
      </c>
    </row>
    <row r="107" spans="1:7" x14ac:dyDescent="0.3">
      <c r="A107" t="s">
        <v>100</v>
      </c>
      <c r="B107" t="s">
        <v>101</v>
      </c>
      <c r="C107" t="s">
        <v>9</v>
      </c>
      <c r="D107" t="s">
        <v>54</v>
      </c>
      <c r="E107" t="s">
        <v>112</v>
      </c>
      <c r="F107">
        <v>10</v>
      </c>
    </row>
    <row r="108" spans="1:7" x14ac:dyDescent="0.3">
      <c r="A108" t="s">
        <v>100</v>
      </c>
      <c r="B108" t="s">
        <v>101</v>
      </c>
      <c r="C108" t="s">
        <v>9</v>
      </c>
      <c r="D108" t="s">
        <v>54</v>
      </c>
      <c r="E108" t="s">
        <v>113</v>
      </c>
      <c r="F108">
        <v>100</v>
      </c>
    </row>
    <row r="109" spans="1:7" x14ac:dyDescent="0.3">
      <c r="A109" t="s">
        <v>100</v>
      </c>
      <c r="B109" t="s">
        <v>101</v>
      </c>
      <c r="C109" t="s">
        <v>9</v>
      </c>
      <c r="D109" t="s">
        <v>54</v>
      </c>
      <c r="E109" t="s">
        <v>114</v>
      </c>
      <c r="F109">
        <v>30</v>
      </c>
    </row>
    <row r="110" spans="1:7" x14ac:dyDescent="0.3">
      <c r="A110" t="s">
        <v>100</v>
      </c>
      <c r="B110" t="s">
        <v>101</v>
      </c>
      <c r="C110" t="s">
        <v>9</v>
      </c>
      <c r="D110" t="s">
        <v>54</v>
      </c>
      <c r="E110" t="s">
        <v>115</v>
      </c>
      <c r="F110">
        <v>30</v>
      </c>
    </row>
    <row r="111" spans="1:7" x14ac:dyDescent="0.3">
      <c r="A111" t="s">
        <v>100</v>
      </c>
      <c r="B111" t="s">
        <v>101</v>
      </c>
      <c r="C111" t="s">
        <v>9</v>
      </c>
      <c r="D111" t="s">
        <v>54</v>
      </c>
      <c r="E111" t="s">
        <v>116</v>
      </c>
      <c r="F111">
        <v>100</v>
      </c>
      <c r="G111" t="s">
        <v>117</v>
      </c>
    </row>
    <row r="112" spans="1:7" x14ac:dyDescent="0.3">
      <c r="A112" t="s">
        <v>100</v>
      </c>
      <c r="B112" t="s">
        <v>101</v>
      </c>
      <c r="C112" t="s">
        <v>9</v>
      </c>
      <c r="D112" t="s">
        <v>12</v>
      </c>
      <c r="E112" t="s">
        <v>118</v>
      </c>
      <c r="F112">
        <v>20</v>
      </c>
    </row>
    <row r="113" spans="1:6" x14ac:dyDescent="0.3">
      <c r="A113" t="s">
        <v>100</v>
      </c>
      <c r="B113" t="s">
        <v>101</v>
      </c>
      <c r="C113" t="s">
        <v>9</v>
      </c>
      <c r="D113" t="s">
        <v>12</v>
      </c>
      <c r="E113" t="s">
        <v>119</v>
      </c>
      <c r="F113">
        <v>20</v>
      </c>
    </row>
    <row r="114" spans="1:6" x14ac:dyDescent="0.3">
      <c r="A114" t="s">
        <v>100</v>
      </c>
      <c r="B114" t="s">
        <v>101</v>
      </c>
      <c r="C114" t="s">
        <v>9</v>
      </c>
      <c r="D114" t="s">
        <v>12</v>
      </c>
      <c r="E114" t="s">
        <v>120</v>
      </c>
      <c r="F114">
        <v>100</v>
      </c>
    </row>
    <row r="115" spans="1:6" x14ac:dyDescent="0.3">
      <c r="A115" t="s">
        <v>100</v>
      </c>
      <c r="B115" t="s">
        <v>101</v>
      </c>
      <c r="C115" t="s">
        <v>9</v>
      </c>
      <c r="D115" t="s">
        <v>12</v>
      </c>
      <c r="E115" t="s">
        <v>66</v>
      </c>
      <c r="F115">
        <v>0</v>
      </c>
    </row>
    <row r="116" spans="1:6" x14ac:dyDescent="0.3">
      <c r="A116" t="s">
        <v>100</v>
      </c>
      <c r="B116" t="s">
        <v>101</v>
      </c>
      <c r="C116" t="s">
        <v>9</v>
      </c>
      <c r="D116" t="s">
        <v>12</v>
      </c>
      <c r="E116" t="s">
        <v>67</v>
      </c>
      <c r="F116">
        <v>0</v>
      </c>
    </row>
    <row r="117" spans="1:6" x14ac:dyDescent="0.3">
      <c r="A117" t="s">
        <v>100</v>
      </c>
      <c r="B117" t="s">
        <v>101</v>
      </c>
      <c r="C117" t="s">
        <v>9</v>
      </c>
      <c r="D117" t="s">
        <v>12</v>
      </c>
      <c r="E117" t="s">
        <v>68</v>
      </c>
      <c r="F117">
        <v>0</v>
      </c>
    </row>
    <row r="118" spans="1:6" x14ac:dyDescent="0.3">
      <c r="A118" t="s">
        <v>100</v>
      </c>
      <c r="B118" t="s">
        <v>101</v>
      </c>
      <c r="C118" t="s">
        <v>9</v>
      </c>
      <c r="D118" t="s">
        <v>12</v>
      </c>
      <c r="E118" t="s">
        <v>69</v>
      </c>
      <c r="F118">
        <v>0</v>
      </c>
    </row>
    <row r="119" spans="1:6" x14ac:dyDescent="0.3">
      <c r="A119" t="s">
        <v>100</v>
      </c>
      <c r="B119" t="s">
        <v>101</v>
      </c>
      <c r="C119" t="s">
        <v>9</v>
      </c>
      <c r="D119" t="s">
        <v>12</v>
      </c>
      <c r="E119" t="s">
        <v>70</v>
      </c>
      <c r="F119">
        <v>0</v>
      </c>
    </row>
    <row r="120" spans="1:6" x14ac:dyDescent="0.3">
      <c r="A120" t="s">
        <v>100</v>
      </c>
      <c r="B120" t="s">
        <v>101</v>
      </c>
      <c r="C120" t="s">
        <v>9</v>
      </c>
      <c r="D120" t="s">
        <v>12</v>
      </c>
      <c r="E120" t="s">
        <v>71</v>
      </c>
      <c r="F120">
        <v>0</v>
      </c>
    </row>
    <row r="121" spans="1:6" x14ac:dyDescent="0.3">
      <c r="A121" t="s">
        <v>100</v>
      </c>
      <c r="B121" t="s">
        <v>101</v>
      </c>
      <c r="C121" t="s">
        <v>9</v>
      </c>
      <c r="D121" t="s">
        <v>12</v>
      </c>
      <c r="E121" t="s">
        <v>121</v>
      </c>
      <c r="F121">
        <v>1200</v>
      </c>
    </row>
    <row r="122" spans="1:6" x14ac:dyDescent="0.3">
      <c r="A122" t="s">
        <v>100</v>
      </c>
      <c r="B122" t="s">
        <v>101</v>
      </c>
      <c r="C122" t="s">
        <v>9</v>
      </c>
      <c r="D122" t="s">
        <v>12</v>
      </c>
      <c r="E122" t="s">
        <v>119</v>
      </c>
      <c r="F122">
        <v>25</v>
      </c>
    </row>
    <row r="123" spans="1:6" x14ac:dyDescent="0.3">
      <c r="A123" t="s">
        <v>100</v>
      </c>
      <c r="B123" t="s">
        <v>101</v>
      </c>
      <c r="C123" t="s">
        <v>9</v>
      </c>
      <c r="D123" t="s">
        <v>12</v>
      </c>
      <c r="E123" t="s">
        <v>122</v>
      </c>
      <c r="F123">
        <v>20</v>
      </c>
    </row>
    <row r="124" spans="1:6" x14ac:dyDescent="0.3">
      <c r="A124" t="s">
        <v>100</v>
      </c>
      <c r="B124" t="s">
        <v>101</v>
      </c>
      <c r="C124" t="s">
        <v>9</v>
      </c>
      <c r="D124" t="s">
        <v>12</v>
      </c>
      <c r="E124" t="s">
        <v>123</v>
      </c>
      <c r="F124">
        <v>10</v>
      </c>
    </row>
    <row r="125" spans="1:6" x14ac:dyDescent="0.3">
      <c r="A125" t="s">
        <v>100</v>
      </c>
      <c r="B125" t="s">
        <v>101</v>
      </c>
      <c r="C125" t="s">
        <v>9</v>
      </c>
      <c r="D125" t="s">
        <v>14</v>
      </c>
      <c r="E125" t="s">
        <v>76</v>
      </c>
      <c r="F125">
        <v>120</v>
      </c>
    </row>
    <row r="126" spans="1:6" x14ac:dyDescent="0.3">
      <c r="A126" t="s">
        <v>100</v>
      </c>
      <c r="B126" t="s">
        <v>101</v>
      </c>
      <c r="C126" t="s">
        <v>9</v>
      </c>
      <c r="D126" t="s">
        <v>14</v>
      </c>
      <c r="E126" t="s">
        <v>77</v>
      </c>
      <c r="F126">
        <v>0</v>
      </c>
    </row>
    <row r="127" spans="1:6" x14ac:dyDescent="0.3">
      <c r="A127" t="s">
        <v>100</v>
      </c>
      <c r="B127" t="s">
        <v>101</v>
      </c>
      <c r="C127" t="s">
        <v>9</v>
      </c>
      <c r="D127" t="s">
        <v>14</v>
      </c>
      <c r="E127" t="s">
        <v>78</v>
      </c>
      <c r="F127">
        <v>0</v>
      </c>
    </row>
    <row r="128" spans="1:6" x14ac:dyDescent="0.3">
      <c r="A128" t="s">
        <v>100</v>
      </c>
      <c r="B128" t="s">
        <v>101</v>
      </c>
      <c r="C128" t="s">
        <v>9</v>
      </c>
      <c r="D128" t="s">
        <v>14</v>
      </c>
      <c r="E128" t="s">
        <v>79</v>
      </c>
      <c r="F128">
        <v>100</v>
      </c>
    </row>
    <row r="129" spans="1:7" x14ac:dyDescent="0.3">
      <c r="A129" t="s">
        <v>100</v>
      </c>
      <c r="B129" t="s">
        <v>101</v>
      </c>
      <c r="C129" t="s">
        <v>9</v>
      </c>
      <c r="D129" t="s">
        <v>15</v>
      </c>
      <c r="E129" t="s">
        <v>80</v>
      </c>
      <c r="F129">
        <v>250</v>
      </c>
    </row>
    <row r="130" spans="1:7" x14ac:dyDescent="0.3">
      <c r="A130" t="s">
        <v>100</v>
      </c>
      <c r="B130" t="s">
        <v>101</v>
      </c>
      <c r="C130" t="s">
        <v>9</v>
      </c>
      <c r="D130" t="s">
        <v>15</v>
      </c>
      <c r="E130" t="s">
        <v>81</v>
      </c>
      <c r="F130">
        <v>1150</v>
      </c>
      <c r="G130" t="s">
        <v>124</v>
      </c>
    </row>
    <row r="131" spans="1:7" x14ac:dyDescent="0.3">
      <c r="A131" t="s">
        <v>100</v>
      </c>
      <c r="B131" t="s">
        <v>101</v>
      </c>
      <c r="C131" t="s">
        <v>9</v>
      </c>
      <c r="D131" t="s">
        <v>15</v>
      </c>
      <c r="E131" t="s">
        <v>81</v>
      </c>
      <c r="F131">
        <v>1200</v>
      </c>
    </row>
    <row r="132" spans="1:7" x14ac:dyDescent="0.3">
      <c r="A132" t="s">
        <v>100</v>
      </c>
      <c r="B132" t="s">
        <v>101</v>
      </c>
      <c r="C132" t="s">
        <v>9</v>
      </c>
      <c r="D132" t="s">
        <v>19</v>
      </c>
      <c r="E132" t="s">
        <v>86</v>
      </c>
      <c r="F132">
        <v>180</v>
      </c>
    </row>
    <row r="133" spans="1:7" x14ac:dyDescent="0.3">
      <c r="A133" t="s">
        <v>100</v>
      </c>
      <c r="B133" t="s">
        <v>101</v>
      </c>
      <c r="C133" t="s">
        <v>9</v>
      </c>
      <c r="D133" t="s">
        <v>19</v>
      </c>
      <c r="E133" t="s">
        <v>87</v>
      </c>
      <c r="F133">
        <v>20</v>
      </c>
    </row>
    <row r="134" spans="1:7" x14ac:dyDescent="0.3">
      <c r="A134" t="s">
        <v>100</v>
      </c>
      <c r="B134" t="s">
        <v>101</v>
      </c>
      <c r="C134" t="s">
        <v>9</v>
      </c>
      <c r="D134" t="s">
        <v>19</v>
      </c>
      <c r="E134" t="s">
        <v>88</v>
      </c>
      <c r="F134">
        <v>40</v>
      </c>
    </row>
    <row r="135" spans="1:7" x14ac:dyDescent="0.3">
      <c r="A135" t="s">
        <v>100</v>
      </c>
      <c r="B135" t="s">
        <v>101</v>
      </c>
      <c r="C135" t="s">
        <v>9</v>
      </c>
      <c r="D135" t="s">
        <v>19</v>
      </c>
      <c r="E135" t="s">
        <v>90</v>
      </c>
      <c r="F135">
        <v>50</v>
      </c>
    </row>
    <row r="136" spans="1:7" x14ac:dyDescent="0.3">
      <c r="A136" t="s">
        <v>100</v>
      </c>
      <c r="B136" t="s">
        <v>101</v>
      </c>
      <c r="C136" t="s">
        <v>9</v>
      </c>
      <c r="D136" t="s">
        <v>19</v>
      </c>
      <c r="E136" t="s">
        <v>91</v>
      </c>
      <c r="F136">
        <v>20</v>
      </c>
    </row>
    <row r="137" spans="1:7" x14ac:dyDescent="0.3">
      <c r="A137" t="s">
        <v>100</v>
      </c>
      <c r="B137" t="s">
        <v>101</v>
      </c>
      <c r="C137" t="s">
        <v>20</v>
      </c>
      <c r="D137" t="s">
        <v>21</v>
      </c>
      <c r="F137">
        <v>20000</v>
      </c>
    </row>
    <row r="138" spans="1:7" x14ac:dyDescent="0.3">
      <c r="A138" t="s">
        <v>100</v>
      </c>
      <c r="B138" t="s">
        <v>101</v>
      </c>
      <c r="C138" t="s">
        <v>20</v>
      </c>
      <c r="D138" t="s">
        <v>125</v>
      </c>
      <c r="F138">
        <v>100</v>
      </c>
    </row>
    <row r="139" spans="1:7" x14ac:dyDescent="0.3">
      <c r="A139" t="s">
        <v>100</v>
      </c>
      <c r="B139" t="s">
        <v>101</v>
      </c>
      <c r="C139" t="s">
        <v>20</v>
      </c>
      <c r="D139" t="s">
        <v>126</v>
      </c>
      <c r="F139">
        <v>200</v>
      </c>
    </row>
    <row r="140" spans="1:7" x14ac:dyDescent="0.3">
      <c r="A140" t="s">
        <v>100</v>
      </c>
      <c r="B140" t="s">
        <v>101</v>
      </c>
      <c r="C140" t="s">
        <v>20</v>
      </c>
      <c r="D140" t="s">
        <v>127</v>
      </c>
      <c r="F140">
        <v>900</v>
      </c>
    </row>
    <row r="141" spans="1:7" x14ac:dyDescent="0.3">
      <c r="A141" t="s">
        <v>100</v>
      </c>
      <c r="B141" t="s">
        <v>101</v>
      </c>
      <c r="C141" t="s">
        <v>23</v>
      </c>
      <c r="D141" t="s">
        <v>23</v>
      </c>
      <c r="E141" t="s">
        <v>128</v>
      </c>
      <c r="F141">
        <v>19450</v>
      </c>
    </row>
    <row r="142" spans="1:7" x14ac:dyDescent="0.3">
      <c r="A142" t="s">
        <v>100</v>
      </c>
      <c r="B142" t="s">
        <v>101</v>
      </c>
      <c r="C142" t="s">
        <v>23</v>
      </c>
      <c r="D142" t="s">
        <v>23</v>
      </c>
      <c r="E142" t="s">
        <v>129</v>
      </c>
      <c r="F142">
        <v>7500</v>
      </c>
    </row>
    <row r="143" spans="1:7" x14ac:dyDescent="0.3">
      <c r="A143" t="s">
        <v>130</v>
      </c>
      <c r="B143" t="s">
        <v>131</v>
      </c>
      <c r="C143" t="s">
        <v>9</v>
      </c>
      <c r="D143" t="s">
        <v>11</v>
      </c>
      <c r="F143">
        <v>6200</v>
      </c>
    </row>
    <row r="144" spans="1:7" x14ac:dyDescent="0.3">
      <c r="A144" t="s">
        <v>130</v>
      </c>
      <c r="B144" t="s">
        <v>131</v>
      </c>
      <c r="C144" t="s">
        <v>9</v>
      </c>
      <c r="D144" t="s">
        <v>10</v>
      </c>
      <c r="E144" t="s">
        <v>102</v>
      </c>
      <c r="F144">
        <v>148</v>
      </c>
    </row>
    <row r="145" spans="1:7" x14ac:dyDescent="0.3">
      <c r="A145" t="s">
        <v>130</v>
      </c>
      <c r="B145" t="s">
        <v>131</v>
      </c>
      <c r="C145" t="s">
        <v>9</v>
      </c>
      <c r="D145" t="s">
        <v>10</v>
      </c>
      <c r="E145" t="s">
        <v>103</v>
      </c>
      <c r="F145">
        <v>214</v>
      </c>
      <c r="G145" t="s">
        <v>132</v>
      </c>
    </row>
    <row r="146" spans="1:7" x14ac:dyDescent="0.3">
      <c r="A146" t="s">
        <v>130</v>
      </c>
      <c r="B146" t="s">
        <v>131</v>
      </c>
      <c r="C146" t="s">
        <v>9</v>
      </c>
      <c r="D146" t="s">
        <v>10</v>
      </c>
      <c r="E146" t="s">
        <v>31</v>
      </c>
      <c r="F146">
        <v>50</v>
      </c>
    </row>
    <row r="147" spans="1:7" x14ac:dyDescent="0.3">
      <c r="A147" t="s">
        <v>130</v>
      </c>
      <c r="B147" t="s">
        <v>131</v>
      </c>
      <c r="C147" t="s">
        <v>9</v>
      </c>
      <c r="D147" t="s">
        <v>10</v>
      </c>
      <c r="E147" t="s">
        <v>32</v>
      </c>
      <c r="F147">
        <v>50</v>
      </c>
    </row>
    <row r="148" spans="1:7" x14ac:dyDescent="0.3">
      <c r="A148" t="s">
        <v>130</v>
      </c>
      <c r="B148" t="s">
        <v>131</v>
      </c>
      <c r="C148" t="s">
        <v>9</v>
      </c>
      <c r="D148" t="s">
        <v>10</v>
      </c>
      <c r="E148" t="s">
        <v>33</v>
      </c>
      <c r="F148">
        <v>50</v>
      </c>
    </row>
    <row r="149" spans="1:7" x14ac:dyDescent="0.3">
      <c r="A149" t="s">
        <v>130</v>
      </c>
      <c r="B149" t="s">
        <v>131</v>
      </c>
      <c r="C149" t="s">
        <v>9</v>
      </c>
      <c r="D149" t="s">
        <v>10</v>
      </c>
      <c r="E149" t="s">
        <v>37</v>
      </c>
      <c r="F149">
        <v>220</v>
      </c>
      <c r="G149" t="s">
        <v>105</v>
      </c>
    </row>
    <row r="150" spans="1:7" x14ac:dyDescent="0.3">
      <c r="A150" t="s">
        <v>130</v>
      </c>
      <c r="B150" t="s">
        <v>131</v>
      </c>
      <c r="C150" t="s">
        <v>9</v>
      </c>
      <c r="D150" t="s">
        <v>10</v>
      </c>
      <c r="E150" t="s">
        <v>42</v>
      </c>
      <c r="F150">
        <v>118</v>
      </c>
      <c r="G150" t="s">
        <v>133</v>
      </c>
    </row>
    <row r="151" spans="1:7" x14ac:dyDescent="0.3">
      <c r="A151" t="s">
        <v>130</v>
      </c>
      <c r="B151" t="s">
        <v>131</v>
      </c>
      <c r="C151" t="s">
        <v>9</v>
      </c>
      <c r="D151" t="s">
        <v>10</v>
      </c>
      <c r="E151" t="s">
        <v>48</v>
      </c>
      <c r="F151">
        <v>0</v>
      </c>
      <c r="G151" t="s">
        <v>109</v>
      </c>
    </row>
    <row r="152" spans="1:7" x14ac:dyDescent="0.3">
      <c r="A152" t="s">
        <v>130</v>
      </c>
      <c r="B152" t="s">
        <v>131</v>
      </c>
      <c r="C152" t="s">
        <v>9</v>
      </c>
      <c r="D152" t="s">
        <v>54</v>
      </c>
      <c r="E152" t="s">
        <v>110</v>
      </c>
      <c r="F152">
        <v>0</v>
      </c>
      <c r="G152" t="s">
        <v>61</v>
      </c>
    </row>
    <row r="153" spans="1:7" x14ac:dyDescent="0.3">
      <c r="A153" t="s">
        <v>130</v>
      </c>
      <c r="B153" t="s">
        <v>131</v>
      </c>
      <c r="C153" t="s">
        <v>9</v>
      </c>
      <c r="D153" t="s">
        <v>54</v>
      </c>
      <c r="E153" t="s">
        <v>111</v>
      </c>
      <c r="F153">
        <v>0</v>
      </c>
      <c r="G153" t="s">
        <v>61</v>
      </c>
    </row>
    <row r="154" spans="1:7" x14ac:dyDescent="0.3">
      <c r="A154" t="s">
        <v>130</v>
      </c>
      <c r="B154" t="s">
        <v>131</v>
      </c>
      <c r="C154" t="s">
        <v>9</v>
      </c>
      <c r="D154" t="s">
        <v>54</v>
      </c>
      <c r="E154" t="s">
        <v>112</v>
      </c>
      <c r="F154">
        <v>0</v>
      </c>
    </row>
    <row r="155" spans="1:7" x14ac:dyDescent="0.3">
      <c r="A155" t="s">
        <v>130</v>
      </c>
      <c r="B155" t="s">
        <v>131</v>
      </c>
      <c r="C155" t="s">
        <v>9</v>
      </c>
      <c r="D155" t="s">
        <v>54</v>
      </c>
      <c r="E155" t="s">
        <v>113</v>
      </c>
      <c r="F155">
        <v>0</v>
      </c>
    </row>
    <row r="156" spans="1:7" x14ac:dyDescent="0.3">
      <c r="A156" t="s">
        <v>130</v>
      </c>
      <c r="B156" t="s">
        <v>131</v>
      </c>
      <c r="C156" t="s">
        <v>9</v>
      </c>
      <c r="D156" t="s">
        <v>54</v>
      </c>
      <c r="E156" t="s">
        <v>114</v>
      </c>
      <c r="F156">
        <v>0</v>
      </c>
    </row>
    <row r="157" spans="1:7" x14ac:dyDescent="0.3">
      <c r="A157" t="s">
        <v>130</v>
      </c>
      <c r="B157" t="s">
        <v>131</v>
      </c>
      <c r="C157" t="s">
        <v>9</v>
      </c>
      <c r="D157" t="s">
        <v>54</v>
      </c>
      <c r="E157" t="s">
        <v>115</v>
      </c>
      <c r="F157">
        <v>0</v>
      </c>
    </row>
    <row r="158" spans="1:7" x14ac:dyDescent="0.3">
      <c r="A158" t="s">
        <v>130</v>
      </c>
      <c r="B158" t="s">
        <v>131</v>
      </c>
      <c r="C158" t="s">
        <v>9</v>
      </c>
      <c r="D158" t="s">
        <v>12</v>
      </c>
      <c r="E158" t="s">
        <v>118</v>
      </c>
      <c r="F158">
        <v>20</v>
      </c>
    </row>
    <row r="159" spans="1:7" x14ac:dyDescent="0.3">
      <c r="A159" t="s">
        <v>130</v>
      </c>
      <c r="B159" t="s">
        <v>131</v>
      </c>
      <c r="C159" t="s">
        <v>9</v>
      </c>
      <c r="D159" t="s">
        <v>12</v>
      </c>
      <c r="E159" t="s">
        <v>119</v>
      </c>
      <c r="F159">
        <v>20</v>
      </c>
    </row>
    <row r="160" spans="1:7" x14ac:dyDescent="0.3">
      <c r="A160" t="s">
        <v>130</v>
      </c>
      <c r="B160" t="s">
        <v>131</v>
      </c>
      <c r="C160" t="s">
        <v>9</v>
      </c>
      <c r="D160" t="s">
        <v>12</v>
      </c>
      <c r="E160" t="s">
        <v>120</v>
      </c>
      <c r="F160">
        <v>100</v>
      </c>
    </row>
    <row r="161" spans="1:7" x14ac:dyDescent="0.3">
      <c r="A161" t="s">
        <v>130</v>
      </c>
      <c r="B161" t="s">
        <v>131</v>
      </c>
      <c r="C161" t="s">
        <v>9</v>
      </c>
      <c r="D161" t="s">
        <v>12</v>
      </c>
      <c r="E161" t="s">
        <v>134</v>
      </c>
      <c r="F161">
        <v>150</v>
      </c>
    </row>
    <row r="162" spans="1:7" x14ac:dyDescent="0.3">
      <c r="A162" t="s">
        <v>130</v>
      </c>
      <c r="B162" t="s">
        <v>131</v>
      </c>
      <c r="C162" t="s">
        <v>9</v>
      </c>
      <c r="D162" t="s">
        <v>12</v>
      </c>
      <c r="E162" t="s">
        <v>135</v>
      </c>
      <c r="F162">
        <v>20</v>
      </c>
    </row>
    <row r="163" spans="1:7" x14ac:dyDescent="0.3">
      <c r="A163" t="s">
        <v>130</v>
      </c>
      <c r="B163" t="s">
        <v>131</v>
      </c>
      <c r="C163" t="s">
        <v>9</v>
      </c>
      <c r="D163" t="s">
        <v>12</v>
      </c>
      <c r="E163" t="s">
        <v>136</v>
      </c>
      <c r="F163">
        <v>76</v>
      </c>
    </row>
    <row r="164" spans="1:7" x14ac:dyDescent="0.3">
      <c r="A164" t="s">
        <v>130</v>
      </c>
      <c r="B164" t="s">
        <v>131</v>
      </c>
      <c r="C164" t="s">
        <v>9</v>
      </c>
      <c r="D164" t="s">
        <v>12</v>
      </c>
      <c r="E164" t="s">
        <v>137</v>
      </c>
      <c r="F164">
        <v>27</v>
      </c>
    </row>
    <row r="165" spans="1:7" x14ac:dyDescent="0.3">
      <c r="A165" t="s">
        <v>130</v>
      </c>
      <c r="B165" t="s">
        <v>131</v>
      </c>
      <c r="C165" t="s">
        <v>9</v>
      </c>
      <c r="D165" t="s">
        <v>12</v>
      </c>
      <c r="E165" t="s">
        <v>123</v>
      </c>
      <c r="F165">
        <v>40</v>
      </c>
    </row>
    <row r="166" spans="1:7" x14ac:dyDescent="0.3">
      <c r="A166" t="s">
        <v>130</v>
      </c>
      <c r="B166" t="s">
        <v>131</v>
      </c>
      <c r="C166" t="s">
        <v>9</v>
      </c>
      <c r="D166" t="s">
        <v>14</v>
      </c>
      <c r="E166" t="s">
        <v>138</v>
      </c>
      <c r="F166">
        <v>120</v>
      </c>
    </row>
    <row r="167" spans="1:7" x14ac:dyDescent="0.3">
      <c r="A167" t="s">
        <v>130</v>
      </c>
      <c r="B167" t="s">
        <v>131</v>
      </c>
      <c r="C167" t="s">
        <v>9</v>
      </c>
      <c r="D167" t="s">
        <v>14</v>
      </c>
      <c r="E167" t="s">
        <v>77</v>
      </c>
      <c r="F167">
        <v>0</v>
      </c>
    </row>
    <row r="168" spans="1:7" x14ac:dyDescent="0.3">
      <c r="A168" t="s">
        <v>130</v>
      </c>
      <c r="B168" t="s">
        <v>131</v>
      </c>
      <c r="C168" t="s">
        <v>9</v>
      </c>
      <c r="D168" t="s">
        <v>14</v>
      </c>
      <c r="E168" t="s">
        <v>78</v>
      </c>
      <c r="F168">
        <v>0</v>
      </c>
    </row>
    <row r="169" spans="1:7" x14ac:dyDescent="0.3">
      <c r="A169" t="s">
        <v>130</v>
      </c>
      <c r="B169" t="s">
        <v>131</v>
      </c>
      <c r="C169" t="s">
        <v>9</v>
      </c>
      <c r="D169" t="s">
        <v>14</v>
      </c>
      <c r="E169" t="s">
        <v>79</v>
      </c>
      <c r="F169">
        <v>0</v>
      </c>
    </row>
    <row r="170" spans="1:7" x14ac:dyDescent="0.3">
      <c r="A170" t="s">
        <v>130</v>
      </c>
      <c r="B170" t="s">
        <v>131</v>
      </c>
      <c r="C170" t="s">
        <v>9</v>
      </c>
      <c r="D170" t="s">
        <v>15</v>
      </c>
      <c r="E170" t="s">
        <v>80</v>
      </c>
      <c r="F170">
        <v>0</v>
      </c>
    </row>
    <row r="171" spans="1:7" x14ac:dyDescent="0.3">
      <c r="A171" t="s">
        <v>130</v>
      </c>
      <c r="B171" t="s">
        <v>131</v>
      </c>
      <c r="C171" t="s">
        <v>9</v>
      </c>
      <c r="D171" t="s">
        <v>15</v>
      </c>
      <c r="E171" t="s">
        <v>81</v>
      </c>
      <c r="F171">
        <v>1200</v>
      </c>
      <c r="G171" t="s">
        <v>124</v>
      </c>
    </row>
    <row r="172" spans="1:7" x14ac:dyDescent="0.3">
      <c r="A172" t="s">
        <v>130</v>
      </c>
      <c r="B172" t="s">
        <v>131</v>
      </c>
      <c r="C172" t="s">
        <v>9</v>
      </c>
      <c r="D172" t="s">
        <v>15</v>
      </c>
      <c r="E172" t="s">
        <v>139</v>
      </c>
      <c r="F172">
        <v>1800</v>
      </c>
    </row>
    <row r="173" spans="1:7" x14ac:dyDescent="0.3">
      <c r="A173" t="s">
        <v>130</v>
      </c>
      <c r="B173" t="s">
        <v>131</v>
      </c>
      <c r="C173" t="s">
        <v>9</v>
      </c>
      <c r="D173" t="s">
        <v>19</v>
      </c>
      <c r="E173" t="s">
        <v>86</v>
      </c>
      <c r="F173">
        <v>40</v>
      </c>
    </row>
    <row r="174" spans="1:7" x14ac:dyDescent="0.3">
      <c r="A174" t="s">
        <v>130</v>
      </c>
      <c r="B174" t="s">
        <v>131</v>
      </c>
      <c r="C174" t="s">
        <v>20</v>
      </c>
      <c r="D174" t="s">
        <v>21</v>
      </c>
      <c r="F174">
        <v>20000</v>
      </c>
    </row>
    <row r="175" spans="1:7" x14ac:dyDescent="0.3">
      <c r="A175" t="s">
        <v>130</v>
      </c>
      <c r="B175" t="s">
        <v>131</v>
      </c>
      <c r="C175" t="s">
        <v>20</v>
      </c>
      <c r="D175" t="s">
        <v>140</v>
      </c>
      <c r="F175">
        <v>765</v>
      </c>
    </row>
    <row r="176" spans="1:7" x14ac:dyDescent="0.3">
      <c r="A176" t="s">
        <v>130</v>
      </c>
      <c r="B176" t="s">
        <v>131</v>
      </c>
      <c r="C176" t="s">
        <v>20</v>
      </c>
      <c r="D176" t="s">
        <v>141</v>
      </c>
      <c r="F176">
        <v>658</v>
      </c>
    </row>
    <row r="177" spans="1:6" x14ac:dyDescent="0.3">
      <c r="A177" t="s">
        <v>130</v>
      </c>
      <c r="B177" t="s">
        <v>131</v>
      </c>
      <c r="C177" t="s">
        <v>20</v>
      </c>
      <c r="D177" t="s">
        <v>142</v>
      </c>
      <c r="F177">
        <v>500</v>
      </c>
    </row>
    <row r="178" spans="1:6" x14ac:dyDescent="0.3">
      <c r="A178" t="s">
        <v>130</v>
      </c>
      <c r="B178" t="s">
        <v>131</v>
      </c>
      <c r="C178" t="s">
        <v>23</v>
      </c>
      <c r="D178" t="s">
        <v>23</v>
      </c>
      <c r="E178" t="s">
        <v>128</v>
      </c>
      <c r="F178">
        <v>26950</v>
      </c>
    </row>
    <row r="179" spans="1:6" x14ac:dyDescent="0.3">
      <c r="A179" t="s">
        <v>130</v>
      </c>
      <c r="B179" t="s">
        <v>131</v>
      </c>
      <c r="C179" t="s">
        <v>23</v>
      </c>
      <c r="D179" t="s">
        <v>23</v>
      </c>
      <c r="E179" t="s">
        <v>143</v>
      </c>
      <c r="F179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sheetData>
    <row r="1" spans="1:4" x14ac:dyDescent="0.3">
      <c r="A1" s="2" t="s">
        <v>3</v>
      </c>
      <c r="B1" s="2" t="s">
        <v>144</v>
      </c>
      <c r="C1" s="2" t="s">
        <v>145</v>
      </c>
      <c r="D1" s="2" t="s">
        <v>146</v>
      </c>
    </row>
    <row r="2" spans="1:4" x14ac:dyDescent="0.3">
      <c r="A2" t="s">
        <v>10</v>
      </c>
      <c r="B2">
        <v>0</v>
      </c>
      <c r="C2">
        <f>SUMIF(Transactions!D:D, A2, Transactions!F:F)</f>
        <v>10071</v>
      </c>
      <c r="D2">
        <f t="shared" ref="D2:D11" si="0">B2-C2</f>
        <v>-10071</v>
      </c>
    </row>
    <row r="3" spans="1:4" x14ac:dyDescent="0.3">
      <c r="A3" t="s">
        <v>11</v>
      </c>
      <c r="B3">
        <v>0</v>
      </c>
      <c r="C3">
        <f>SUMIF(Transactions!D:D, A3, Transactions!F:F)</f>
        <v>24400</v>
      </c>
      <c r="D3">
        <f t="shared" si="0"/>
        <v>-24400</v>
      </c>
    </row>
    <row r="4" spans="1:4" x14ac:dyDescent="0.3">
      <c r="A4" t="s">
        <v>12</v>
      </c>
      <c r="B4">
        <v>0</v>
      </c>
      <c r="C4">
        <f>SUMIF(Transactions!D:D, A4, Transactions!F:F)</f>
        <v>4966</v>
      </c>
      <c r="D4">
        <f t="shared" si="0"/>
        <v>-4966</v>
      </c>
    </row>
    <row r="5" spans="1:4" x14ac:dyDescent="0.3">
      <c r="A5" t="s">
        <v>14</v>
      </c>
      <c r="B5">
        <v>0</v>
      </c>
      <c r="C5">
        <f>SUMIF(Transactions!D:D, A5, Transactions!F:F)</f>
        <v>3130</v>
      </c>
      <c r="D5">
        <f t="shared" si="0"/>
        <v>-3130</v>
      </c>
    </row>
    <row r="6" spans="1:4" x14ac:dyDescent="0.3">
      <c r="A6" t="s">
        <v>15</v>
      </c>
      <c r="B6">
        <v>0</v>
      </c>
      <c r="C6">
        <f>SUMIF(Transactions!D:D, A6, Transactions!F:F)</f>
        <v>10370</v>
      </c>
      <c r="D6">
        <f t="shared" si="0"/>
        <v>-10370</v>
      </c>
    </row>
    <row r="7" spans="1:4" x14ac:dyDescent="0.3">
      <c r="A7" t="s">
        <v>16</v>
      </c>
      <c r="B7">
        <v>0</v>
      </c>
      <c r="C7">
        <f>SUMIF(Transactions!D:D, A7, Transactions!F:F)</f>
        <v>1730</v>
      </c>
      <c r="D7">
        <f t="shared" si="0"/>
        <v>-1730</v>
      </c>
    </row>
    <row r="8" spans="1:4" x14ac:dyDescent="0.3">
      <c r="A8" t="s">
        <v>19</v>
      </c>
      <c r="B8">
        <v>0</v>
      </c>
      <c r="C8">
        <f>SUMIF(Transactions!D:D, A8, Transactions!F:F)</f>
        <v>1030</v>
      </c>
      <c r="D8">
        <f t="shared" si="0"/>
        <v>-1030</v>
      </c>
    </row>
    <row r="9" spans="1:4" x14ac:dyDescent="0.3">
      <c r="A9" t="s">
        <v>54</v>
      </c>
      <c r="B9">
        <v>0</v>
      </c>
      <c r="C9">
        <f>SUMIF(Transactions!D:D, A9, Transactions!F:F)</f>
        <v>880</v>
      </c>
      <c r="D9">
        <f t="shared" si="0"/>
        <v>-880</v>
      </c>
    </row>
    <row r="10" spans="1:4" x14ac:dyDescent="0.3">
      <c r="A10" t="s">
        <v>92</v>
      </c>
      <c r="B10">
        <v>0</v>
      </c>
      <c r="C10">
        <f>SUMIF(Transactions!D:D, A10, Transactions!F:F)</f>
        <v>750</v>
      </c>
      <c r="D10">
        <f t="shared" si="0"/>
        <v>-750</v>
      </c>
    </row>
    <row r="11" spans="1:4" x14ac:dyDescent="0.3">
      <c r="A11" t="s">
        <v>147</v>
      </c>
      <c r="B11">
        <v>0</v>
      </c>
      <c r="C11">
        <f>SUMIF(Transactions!D:D, A11, Transactions!F:F)</f>
        <v>0</v>
      </c>
      <c r="D11">
        <f t="shared" si="0"/>
        <v>0</v>
      </c>
    </row>
    <row r="12" spans="1:4" x14ac:dyDescent="0.3">
      <c r="A12" t="s">
        <v>148</v>
      </c>
      <c r="B12">
        <f>SUM(B2:B11)</f>
        <v>0</v>
      </c>
      <c r="C12">
        <f>SUM(C2:C11)</f>
        <v>57327</v>
      </c>
      <c r="D12">
        <f>SUM(D2:D11)</f>
        <v>-57327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t="s">
        <v>1</v>
      </c>
      <c r="B1" t="s">
        <v>149</v>
      </c>
      <c r="C1" t="s">
        <v>150</v>
      </c>
      <c r="D1" t="s">
        <v>151</v>
      </c>
      <c r="E1" t="s">
        <v>152</v>
      </c>
    </row>
    <row r="2" spans="1:5" x14ac:dyDescent="0.3">
      <c r="A2" t="s">
        <v>8</v>
      </c>
      <c r="B2">
        <f>SUMIFS(Transactions!F:F, Transactions!B:B, A2, Transactions!C:C, "Income")</f>
        <v>20500</v>
      </c>
      <c r="C2">
        <f>SUMIFS(Transactions!F:F, Transactions!B:B, A2, Transactions!C:C, "Expense")</f>
        <v>16110</v>
      </c>
      <c r="D2">
        <f>B2-C2</f>
        <v>4390</v>
      </c>
      <c r="E2">
        <f>SUMIFS(Transactions!F:F, Transactions!B:B, A2, Transactions!C:C, "Savings")</f>
        <v>5000</v>
      </c>
    </row>
    <row r="3" spans="1:5" x14ac:dyDescent="0.3">
      <c r="A3" t="s">
        <v>27</v>
      </c>
      <c r="B3">
        <f>SUMIFS(Transactions!F:F, Transactions!B:B, A3, Transactions!C:C, "Income")</f>
        <v>37550</v>
      </c>
      <c r="C3">
        <f>SUMIFS(Transactions!F:F, Transactions!B:B, A3, Transactions!C:C, "Expense")</f>
        <v>33657</v>
      </c>
      <c r="D3">
        <f>B3-C3</f>
        <v>3893</v>
      </c>
      <c r="E3">
        <f>SUMIFS(Transactions!F:F, Transactions!B:B, A3, Transactions!C:C, "Savings")</f>
        <v>19700</v>
      </c>
    </row>
    <row r="4" spans="1:5" x14ac:dyDescent="0.3">
      <c r="A4" t="s">
        <v>101</v>
      </c>
      <c r="B4">
        <f>SUMIFS(Transactions!F:F, Transactions!B:B, A4, Transactions!C:C, "Income")</f>
        <v>21200</v>
      </c>
      <c r="C4">
        <f>SUMIFS(Transactions!F:F, Transactions!B:B, A4, Transactions!C:C, "Expense")</f>
        <v>12897</v>
      </c>
      <c r="D4">
        <f>B4-C4</f>
        <v>8303</v>
      </c>
      <c r="E4">
        <f>SUMIFS(Transactions!F:F, Transactions!B:B, A4, Transactions!C:C, "Savings")</f>
        <v>26950</v>
      </c>
    </row>
    <row r="5" spans="1:5" x14ac:dyDescent="0.3">
      <c r="A5" t="s">
        <v>131</v>
      </c>
      <c r="B5">
        <f>SUMIFS(Transactions!F:F, Transactions!B:B, A5, Transactions!C:C, "Income")</f>
        <v>21923</v>
      </c>
      <c r="C5">
        <f>SUMIFS(Transactions!F:F, Transactions!B:B, A5, Transactions!C:C, "Expense")</f>
        <v>10663</v>
      </c>
      <c r="D5">
        <f>B5-C5</f>
        <v>11260</v>
      </c>
      <c r="E5">
        <f>SUMIFS(Transactions!F:F, Transactions!B:B, A5, Transactions!C:C, "Savings")</f>
        <v>34450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</row>
    <row r="2" spans="1:6" x14ac:dyDescent="0.3">
      <c r="A2" t="s">
        <v>7</v>
      </c>
      <c r="B2" t="s">
        <v>158</v>
      </c>
      <c r="C2">
        <v>5000</v>
      </c>
      <c r="D2">
        <v>5</v>
      </c>
      <c r="E2">
        <f>C2 * (D2/100) / 12</f>
        <v>20.833333333333332</v>
      </c>
      <c r="F2">
        <f>C2 + E2</f>
        <v>5020.833333333333</v>
      </c>
    </row>
    <row r="3" spans="1:6" x14ac:dyDescent="0.3">
      <c r="A3" t="s">
        <v>26</v>
      </c>
      <c r="B3" t="s">
        <v>159</v>
      </c>
      <c r="C3">
        <v>7500</v>
      </c>
      <c r="D3">
        <v>5</v>
      </c>
      <c r="E3">
        <f>C3 * (D3/100) / 12</f>
        <v>31.25</v>
      </c>
      <c r="F3">
        <f t="shared" ref="F3:F8" si="0">F2 + C3 + E3</f>
        <v>12552.083333333332</v>
      </c>
    </row>
    <row r="4" spans="1:6" x14ac:dyDescent="0.3">
      <c r="A4" t="s">
        <v>100</v>
      </c>
      <c r="B4" t="s">
        <v>160</v>
      </c>
      <c r="C4">
        <v>7500</v>
      </c>
      <c r="D4">
        <v>5</v>
      </c>
      <c r="E4">
        <f>C4 * (D4/100) / 12</f>
        <v>31.25</v>
      </c>
      <c r="F4">
        <f t="shared" si="0"/>
        <v>20083.333333333332</v>
      </c>
    </row>
    <row r="5" spans="1:6" x14ac:dyDescent="0.3">
      <c r="A5" t="s">
        <v>130</v>
      </c>
      <c r="B5" t="s">
        <v>161</v>
      </c>
      <c r="C5">
        <v>7500</v>
      </c>
      <c r="D5">
        <v>5</v>
      </c>
      <c r="E5">
        <f>C5 * (D5/100) / 12</f>
        <v>31.25</v>
      </c>
      <c r="F5">
        <f t="shared" si="0"/>
        <v>27614.583333333332</v>
      </c>
    </row>
    <row r="6" spans="1:6" x14ac:dyDescent="0.3">
      <c r="A6" t="s">
        <v>162</v>
      </c>
      <c r="B6" t="s">
        <v>163</v>
      </c>
      <c r="C6">
        <v>0</v>
      </c>
      <c r="D6">
        <v>12.9</v>
      </c>
      <c r="F6">
        <f t="shared" si="0"/>
        <v>27614.583333333332</v>
      </c>
    </row>
    <row r="7" spans="1:6" x14ac:dyDescent="0.3">
      <c r="A7" t="s">
        <v>162</v>
      </c>
      <c r="B7" t="s">
        <v>164</v>
      </c>
      <c r="C7">
        <v>0</v>
      </c>
      <c r="D7">
        <v>10</v>
      </c>
      <c r="F7">
        <f t="shared" si="0"/>
        <v>27614.583333333332</v>
      </c>
    </row>
    <row r="8" spans="1:6" x14ac:dyDescent="0.3">
      <c r="A8" t="s">
        <v>162</v>
      </c>
      <c r="B8" t="s">
        <v>165</v>
      </c>
      <c r="C8">
        <v>0</v>
      </c>
      <c r="D8">
        <v>9</v>
      </c>
      <c r="F8">
        <f t="shared" si="0"/>
        <v>27614.583333333332</v>
      </c>
    </row>
    <row r="10" spans="1:6" x14ac:dyDescent="0.3">
      <c r="A10" t="s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4" x14ac:dyDescent="0.3"/>
  <cols>
    <col min="1" max="1" width="19.44140625" bestFit="1" customWidth="1"/>
  </cols>
  <sheetData>
    <row r="1" spans="1:6" x14ac:dyDescent="0.3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</row>
    <row r="2" spans="1:6" x14ac:dyDescent="0.3">
      <c r="A2" t="s">
        <v>173</v>
      </c>
      <c r="B2">
        <v>750</v>
      </c>
      <c r="C2" t="s">
        <v>174</v>
      </c>
      <c r="E2">
        <v>750</v>
      </c>
      <c r="F2">
        <f t="shared" ref="F2:F9" si="0">B2-E2</f>
        <v>0</v>
      </c>
    </row>
    <row r="3" spans="1:6" x14ac:dyDescent="0.3">
      <c r="A3" t="s">
        <v>175</v>
      </c>
      <c r="B3">
        <v>2400</v>
      </c>
      <c r="C3" t="s">
        <v>174</v>
      </c>
      <c r="E3">
        <v>2400</v>
      </c>
      <c r="F3">
        <f t="shared" si="0"/>
        <v>0</v>
      </c>
    </row>
    <row r="4" spans="1:6" x14ac:dyDescent="0.3">
      <c r="A4" t="s">
        <v>176</v>
      </c>
      <c r="B4">
        <v>7000</v>
      </c>
      <c r="C4" t="s">
        <v>174</v>
      </c>
      <c r="E4">
        <v>7000</v>
      </c>
      <c r="F4">
        <f t="shared" si="0"/>
        <v>0</v>
      </c>
    </row>
    <row r="5" spans="1:6" x14ac:dyDescent="0.3">
      <c r="A5" t="s">
        <v>177</v>
      </c>
      <c r="B5">
        <v>30000</v>
      </c>
      <c r="C5" t="s">
        <v>178</v>
      </c>
      <c r="D5" t="s">
        <v>179</v>
      </c>
      <c r="E5">
        <v>0</v>
      </c>
      <c r="F5">
        <f t="shared" si="0"/>
        <v>30000</v>
      </c>
    </row>
    <row r="6" spans="1:6" x14ac:dyDescent="0.3">
      <c r="A6" t="s">
        <v>180</v>
      </c>
      <c r="B6">
        <v>8500</v>
      </c>
      <c r="C6" t="s">
        <v>178</v>
      </c>
      <c r="D6" t="s">
        <v>181</v>
      </c>
      <c r="E6">
        <v>0</v>
      </c>
      <c r="F6">
        <f t="shared" si="0"/>
        <v>8500</v>
      </c>
    </row>
    <row r="7" spans="1:6" x14ac:dyDescent="0.3">
      <c r="A7" t="s">
        <v>182</v>
      </c>
      <c r="B7">
        <v>3000</v>
      </c>
      <c r="C7" t="s">
        <v>178</v>
      </c>
      <c r="D7" t="s">
        <v>183</v>
      </c>
      <c r="E7">
        <v>0</v>
      </c>
      <c r="F7">
        <f t="shared" si="0"/>
        <v>3000</v>
      </c>
    </row>
    <row r="8" spans="1:6" x14ac:dyDescent="0.3">
      <c r="A8" t="s">
        <v>184</v>
      </c>
      <c r="B8">
        <v>100000</v>
      </c>
      <c r="C8" t="s">
        <v>178</v>
      </c>
      <c r="D8" t="s">
        <v>183</v>
      </c>
      <c r="E8">
        <v>0</v>
      </c>
      <c r="F8">
        <f t="shared" si="0"/>
        <v>100000</v>
      </c>
    </row>
    <row r="9" spans="1:6" x14ac:dyDescent="0.3">
      <c r="A9" t="s">
        <v>185</v>
      </c>
      <c r="B9">
        <v>0</v>
      </c>
      <c r="C9" t="s">
        <v>178</v>
      </c>
      <c r="D9" t="s">
        <v>186</v>
      </c>
      <c r="E9">
        <v>0</v>
      </c>
      <c r="F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Budget</vt:lpstr>
      <vt:lpstr>Monthly Summary</vt:lpstr>
      <vt:lpstr>Savings &amp; Investments</vt:lpstr>
      <vt:lpstr>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 Ndome</cp:lastModifiedBy>
  <dcterms:created xsi:type="dcterms:W3CDTF">2025-11-02T04:27:10Z</dcterms:created>
  <dcterms:modified xsi:type="dcterms:W3CDTF">2025-11-02T04:30:40Z</dcterms:modified>
</cp:coreProperties>
</file>